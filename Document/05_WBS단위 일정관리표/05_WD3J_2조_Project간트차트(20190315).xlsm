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영진전문대\3학년캡스톤디자인\리듬타타키\문서\05_WBS단위 일정관리표\"/>
    </mc:Choice>
  </mc:AlternateContent>
  <bookViews>
    <workbookView xWindow="0" yWindow="0" windowWidth="19200" windowHeight="7128"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Schedule!$M$3:$AB$133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P5" i="2" l="1"/>
  <c r="AU5" i="2"/>
  <c r="AE6" i="2"/>
  <c r="AC7" i="2"/>
  <c r="AE8" i="2"/>
  <c r="AE9" i="2"/>
  <c r="AT11" i="2"/>
  <c r="AT12" i="2"/>
  <c r="AU13" i="2"/>
  <c r="AU14" i="2"/>
  <c r="AF16" i="2"/>
  <c r="AJ16" i="2"/>
  <c r="AE17" i="2"/>
  <c r="AD18" i="2"/>
  <c r="AD19" i="2"/>
  <c r="AD20" i="2"/>
  <c r="AD21" i="2"/>
  <c r="AE22" i="2"/>
  <c r="AF23" i="2"/>
  <c r="AF24" i="2"/>
  <c r="AF25" i="2"/>
  <c r="AF26" i="2"/>
  <c r="AF27" i="2"/>
  <c r="AE28" i="2"/>
  <c r="AF29" i="2"/>
  <c r="AF31" i="2"/>
  <c r="AJ31" i="2"/>
  <c r="AF32" i="2"/>
  <c r="AJ32" i="2"/>
  <c r="AF33" i="2"/>
  <c r="AF34" i="2"/>
  <c r="AF35" i="2"/>
  <c r="AF36" i="2"/>
  <c r="AF37" i="2"/>
  <c r="AG38" i="2"/>
  <c r="AG39" i="2"/>
  <c r="AF41" i="2"/>
  <c r="AJ41" i="2"/>
  <c r="AF49" i="2"/>
  <c r="AF50" i="2"/>
  <c r="AF51" i="2"/>
  <c r="AF52" i="2"/>
  <c r="AF53" i="2"/>
  <c r="AG54" i="2"/>
  <c r="AG55" i="2"/>
  <c r="AG56" i="2"/>
  <c r="AF57" i="2"/>
  <c r="AG58" i="2"/>
  <c r="AF59" i="2"/>
  <c r="AJ59" i="2"/>
  <c r="AF60" i="2"/>
  <c r="AF61" i="2"/>
  <c r="AG62" i="2"/>
  <c r="AG63" i="2"/>
  <c r="AG64" i="2"/>
  <c r="AG65" i="2"/>
  <c r="AG66" i="2"/>
  <c r="AG67" i="2"/>
  <c r="AG68" i="2"/>
  <c r="AG69" i="2"/>
  <c r="AG70" i="2"/>
  <c r="AG71" i="2"/>
  <c r="AG72" i="2"/>
  <c r="AH73" i="2"/>
  <c r="AI74" i="2"/>
  <c r="AH75" i="2"/>
  <c r="AI76" i="2"/>
  <c r="AI77" i="2"/>
  <c r="AF118" i="2"/>
  <c r="AF119"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c r="F9" i="4"/>
  <c r="B24" i="3"/>
  <c r="D1" i="2"/>
  <c r="AB2"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comments1.xml><?xml version="1.0" encoding="utf-8"?>
<comments xmlns="http://schemas.openxmlformats.org/spreadsheetml/2006/main">
  <authors>
    <author>SAMSUNG9</author>
  </authors>
  <commentList>
    <comment ref="L66" authorId="0" shapeId="0">
      <text>
        <r>
          <rPr>
            <b/>
            <sz val="9"/>
            <color indexed="81"/>
            <rFont val="Tahoma"/>
            <family val="2"/>
          </rPr>
          <t xml:space="preserve">Miss : </t>
        </r>
        <r>
          <rPr>
            <b/>
            <sz val="9"/>
            <color indexed="81"/>
            <rFont val="돋움"/>
            <family val="3"/>
            <charset val="129"/>
          </rPr>
          <t>콤보</t>
        </r>
        <r>
          <rPr>
            <b/>
            <sz val="9"/>
            <color indexed="81"/>
            <rFont val="Tahoma"/>
            <family val="2"/>
          </rPr>
          <t xml:space="preserve"> </t>
        </r>
        <r>
          <rPr>
            <b/>
            <sz val="9"/>
            <color indexed="81"/>
            <rFont val="돋움"/>
            <family val="3"/>
            <charset val="129"/>
          </rPr>
          <t>취소</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t>
        </r>
        <r>
          <rPr>
            <b/>
            <sz val="9"/>
            <color indexed="81"/>
            <rFont val="돋움"/>
            <family val="3"/>
            <charset val="129"/>
          </rPr>
          <t>없음</t>
        </r>
        <r>
          <rPr>
            <b/>
            <sz val="9"/>
            <color indexed="81"/>
            <rFont val="Tahoma"/>
            <family val="2"/>
          </rPr>
          <t xml:space="preserve">.
Good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50</t>
        </r>
        <r>
          <rPr>
            <b/>
            <sz val="9"/>
            <color indexed="81"/>
            <rFont val="돋움"/>
            <family val="3"/>
            <charset val="129"/>
          </rPr>
          <t xml:space="preserve">점
</t>
        </r>
        <r>
          <rPr>
            <b/>
            <sz val="9"/>
            <color indexed="81"/>
            <rFont val="Tahoma"/>
            <family val="2"/>
          </rPr>
          <t xml:space="preserve">Perfect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100</t>
        </r>
        <r>
          <rPr>
            <b/>
            <sz val="9"/>
            <color indexed="81"/>
            <rFont val="돋움"/>
            <family val="3"/>
            <charset val="129"/>
          </rPr>
          <t>점</t>
        </r>
      </text>
    </comment>
  </commentList>
</comments>
</file>

<file path=xl/sharedStrings.xml><?xml version="1.0" encoding="utf-8"?>
<sst xmlns="http://schemas.openxmlformats.org/spreadsheetml/2006/main" count="1744" uniqueCount="1331">
  <si>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</si>
  <si>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</si>
  <si>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</si>
  <si>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</si>
  <si>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</si>
  <si>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</si>
  <si>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</si>
  <si>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</si>
  <si>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</si>
  <si>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</si>
  <si>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</si>
  <si>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</si>
  <si>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</si>
  <si>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</si>
  <si>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</si>
  <si>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</si>
  <si>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</si>
  <si>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</si>
  <si>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</si>
  <si>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</si>
  <si>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</si>
  <si>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</si>
  <si>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</si>
  <si>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</si>
  <si>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</si>
  <si>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</si>
  <si>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</si>
  <si>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</si>
  <si>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</si>
  <si>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</si>
  <si>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</si>
  <si>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</si>
  <si>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</si>
  <si>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</si>
  <si>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</si>
  <si>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</si>
  <si>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</si>
  <si>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</si>
  <si>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</si>
  <si>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</si>
  <si>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</si>
  <si>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</si>
  <si>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</si>
  <si>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</si>
  <si>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</si>
  <si>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</si>
  <si>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</si>
  <si>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</si>
  <si>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</si>
  <si>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</si>
  <si>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</si>
  <si>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</si>
  <si>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</si>
  <si>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</si>
  <si>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</si>
  <si>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</si>
  <si>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</si>
  <si>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</si>
  <si>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</si>
  <si>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</si>
  <si>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</si>
  <si>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</si>
  <si>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</si>
  <si>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</si>
  <si>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</si>
  <si>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</si>
  <si>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</si>
  <si>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</si>
  <si>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</si>
  <si>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</si>
  <si>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</si>
  <si>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</si>
  <si>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</si>
  <si>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</si>
  <si>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</si>
  <si>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</si>
  <si>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</si>
  <si>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</si>
  <si>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</si>
  <si>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</si>
  <si>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</si>
  <si>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</si>
  <si>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</si>
  <si>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</si>
  <si>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</si>
  <si>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</si>
  <si>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</si>
  <si>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</si>
  <si>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</si>
  <si>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</si>
  <si>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</si>
  <si>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</si>
  <si>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</si>
  <si>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</si>
  <si>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</si>
  <si>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</si>
  <si>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</si>
  <si>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</si>
  <si>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</si>
  <si>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</si>
  <si>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</si>
  <si>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</si>
  <si>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</si>
  <si>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</si>
  <si>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</si>
  <si>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</si>
  <si>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</si>
  <si>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</si>
  <si>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</si>
  <si>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</si>
  <si>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</si>
  <si>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</si>
  <si>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</si>
  <si>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</si>
  <si>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</si>
  <si>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</si>
  <si>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</si>
  <si>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</si>
  <si>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</si>
  <si>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</si>
  <si>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</si>
  <si>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</si>
  <si>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</si>
  <si>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</si>
  <si>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</si>
  <si>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</si>
  <si>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</si>
  <si>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</si>
  <si>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</si>
  <si>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</si>
  <si>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</si>
  <si>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</si>
  <si>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</si>
  <si>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</si>
  <si>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</si>
  <si>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</si>
  <si>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</si>
  <si>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</si>
  <si>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</si>
  <si>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</si>
  <si>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</si>
  <si>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</si>
  <si>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</si>
  <si>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</si>
  <si>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</si>
  <si>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</si>
  <si>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</si>
  <si>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</si>
  <si>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</si>
  <si>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</si>
  <si>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</si>
  <si>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</si>
  <si>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</si>
  <si>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</si>
  <si>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</si>
  <si>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</si>
  <si>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</si>
  <si>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</si>
  <si>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</si>
  <si>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</si>
  <si>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</si>
  <si>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</si>
  <si>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</si>
  <si>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</si>
  <si>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</si>
  <si>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</si>
  <si>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</si>
  <si>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</si>
  <si>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</si>
  <si>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</si>
  <si>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</si>
  <si>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</si>
  <si>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</si>
  <si>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</si>
  <si>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</si>
  <si>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</si>
  <si>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</si>
  <si>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</si>
  <si>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</si>
  <si>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</si>
  <si>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</si>
  <si>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</si>
  <si>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</si>
  <si>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</si>
  <si>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</si>
  <si>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</si>
  <si>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</si>
  <si>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</si>
  <si>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</si>
  <si>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</si>
  <si>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</si>
  <si>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</si>
  <si>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</si>
  <si>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</si>
  <si>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</si>
  <si>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</si>
  <si>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</si>
  <si>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</si>
  <si>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</si>
  <si>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</si>
  <si>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</si>
  <si>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</si>
  <si>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</si>
  <si>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</si>
  <si>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</si>
  <si>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</si>
  <si>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</si>
  <si>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</si>
  <si>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</si>
  <si>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</si>
  <si>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</si>
  <si>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</si>
  <si>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</si>
  <si>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</si>
  <si>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</si>
  <si>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</si>
  <si>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</si>
  <si>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</si>
  <si>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</si>
  <si>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</si>
  <si>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</si>
  <si>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</si>
  <si>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</si>
  <si>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</si>
  <si>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</si>
  <si>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</si>
  <si>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</si>
  <si>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</si>
  <si>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</si>
  <si>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</si>
  <si>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</si>
  <si>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</si>
  <si>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</si>
  <si>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</si>
  <si>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</si>
  <si>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</si>
  <si>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</si>
  <si>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</si>
  <si>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</si>
  <si>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</si>
  <si>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</si>
  <si>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</si>
  <si>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</si>
  <si>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</si>
  <si>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</si>
  <si>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</si>
  <si>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</si>
  <si>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</si>
  <si>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</si>
  <si>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</si>
  <si>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</si>
  <si>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</si>
  <si>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</si>
  <si>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</si>
  <si>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</si>
  <si>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</si>
  <si>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</si>
  <si>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</si>
  <si>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</si>
  <si>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</si>
  <si>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</si>
  <si>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</si>
  <si>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</si>
  <si>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</si>
  <si>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</si>
  <si>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</si>
  <si>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</si>
  <si>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</si>
  <si>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</si>
  <si>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</si>
  <si>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</si>
  <si>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</si>
  <si>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</si>
  <si>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</si>
  <si>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</si>
  <si>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</si>
  <si>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</si>
  <si>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</si>
  <si>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</si>
  <si>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</si>
  <si>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</si>
  <si>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</si>
  <si>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</si>
  <si>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</si>
  <si>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</si>
  <si>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</si>
  <si>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</si>
  <si>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</si>
  <si>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</si>
  <si>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</si>
  <si>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</si>
  <si>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</si>
  <si>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</si>
  <si>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</si>
  <si>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</si>
  <si>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</si>
  <si>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</si>
  <si>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</si>
  <si>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</si>
  <si>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</si>
  <si>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</si>
  <si>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</si>
  <si>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</si>
  <si>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</si>
  <si>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</si>
  <si>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</si>
  <si>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</si>
  <si>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</si>
  <si>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</si>
  <si>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</si>
  <si>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</si>
  <si>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</si>
  <si>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</si>
  <si>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</si>
  <si>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</si>
  <si>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</si>
  <si>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</si>
  <si>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</si>
  <si>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</si>
  <si>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</si>
  <si>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</si>
  <si>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</si>
  <si>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</si>
  <si>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</si>
  <si>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</si>
  <si>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</si>
  <si>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</si>
  <si>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</si>
  <si>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</si>
  <si>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</si>
  <si>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</si>
  <si>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</si>
  <si>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</si>
  <si>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</si>
  <si>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</si>
  <si>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</si>
  <si>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</si>
  <si>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</si>
  <si>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</si>
  <si>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</si>
  <si>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</si>
  <si>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</si>
  <si>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</si>
  <si>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</si>
  <si>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</si>
  <si>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</si>
  <si>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</si>
  <si>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</si>
  <si>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</si>
  <si>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</si>
  <si>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</si>
  <si>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</si>
  <si>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</si>
  <si>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</si>
  <si>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</si>
  <si>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</si>
  <si>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</si>
  <si>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</si>
  <si>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</si>
  <si>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</si>
  <si>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</si>
  <si>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</si>
  <si>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</si>
  <si>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</si>
  <si>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</si>
  <si>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</si>
  <si>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</si>
  <si>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</si>
  <si>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</si>
  <si>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</si>
  <si>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</si>
  <si>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</si>
  <si>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</si>
  <si>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</si>
  <si>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</si>
  <si>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</si>
  <si>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</si>
  <si>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</si>
  <si>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</si>
  <si>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</si>
  <si>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</si>
  <si>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</si>
  <si>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</si>
  <si>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</si>
  <si>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</si>
  <si>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</si>
  <si>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</si>
  <si>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</si>
  <si>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</si>
  <si>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</si>
  <si>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</si>
  <si>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</si>
  <si>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</si>
  <si>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</si>
  <si>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</si>
  <si>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</si>
  <si>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</si>
  <si>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</si>
  <si>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</si>
  <si>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</si>
  <si>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</si>
  <si>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</si>
  <si>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</si>
  <si>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</si>
  <si>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</si>
  <si>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</si>
  <si>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</si>
  <si>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</si>
  <si>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</si>
  <si>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</si>
  <si>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</si>
  <si>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</si>
  <si>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</si>
  <si>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</si>
  <si>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</si>
  <si>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</si>
  <si>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</si>
  <si>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</si>
  <si>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</si>
  <si>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</si>
  <si>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</si>
  <si>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</si>
  <si>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</si>
  <si>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</si>
  <si>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</si>
  <si>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</si>
  <si>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</si>
  <si>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</si>
  <si>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</si>
  <si>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</si>
  <si>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</si>
  <si>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</si>
  <si>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</si>
  <si>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</si>
  <si>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</si>
  <si>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</si>
  <si>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</si>
  <si>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</si>
  <si>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</si>
  <si>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</si>
  <si>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</si>
  <si>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</si>
  <si>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</si>
  <si>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</si>
  <si>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</si>
  <si>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</si>
  <si>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</si>
  <si>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</si>
  <si>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</si>
  <si>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</si>
  <si>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</si>
  <si>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</si>
  <si>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</si>
  <si>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</si>
  <si>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</si>
  <si>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</si>
  <si>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</si>
  <si>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</si>
  <si>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</si>
  <si>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</si>
  <si>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</si>
  <si>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</si>
  <si>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</si>
  <si>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</si>
  <si>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</si>
  <si>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</si>
  <si>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</si>
  <si>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</si>
  <si>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</si>
  <si>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</si>
  <si>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</si>
  <si>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</si>
  <si>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</si>
  <si>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</si>
  <si>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</si>
  <si>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</si>
  <si>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</si>
  <si>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</si>
  <si>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</si>
  <si>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</si>
  <si>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</si>
  <si>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</si>
  <si>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</si>
  <si>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</si>
  <si>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</si>
  <si>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</si>
  <si>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</si>
  <si>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</si>
  <si>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</si>
  <si>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</si>
  <si>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</si>
  <si>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</si>
  <si>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</si>
  <si>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</si>
  <si>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</si>
  <si>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</si>
  <si>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</si>
  <si>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</si>
  <si>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</si>
  <si>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</si>
  <si>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</si>
  <si>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</si>
  <si>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</si>
  <si>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</si>
  <si>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</si>
  <si>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</si>
  <si>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</si>
  <si>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</si>
  <si>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</si>
  <si>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</si>
  <si>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</si>
  <si>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</si>
  <si>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</si>
  <si>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</si>
  <si>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</si>
  <si>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</si>
  <si>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</si>
  <si>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</si>
  <si>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</si>
  <si>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</si>
  <si>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</si>
  <si>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</si>
  <si>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</si>
  <si>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</si>
  <si>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</si>
  <si>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</si>
  <si>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</si>
  <si>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</si>
  <si>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</si>
  <si>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</si>
  <si>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</si>
  <si>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</si>
  <si>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</si>
  <si>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</si>
  <si>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</si>
  <si>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</si>
  <si>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</si>
  <si>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</si>
  <si>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</si>
  <si>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</si>
  <si>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</si>
  <si>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</si>
  <si>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</si>
  <si>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</si>
  <si>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</si>
  <si>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</si>
  <si>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</si>
  <si>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</si>
  <si>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</si>
  <si>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</si>
  <si>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</si>
  <si>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</si>
  <si>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</si>
  <si>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</si>
  <si>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</si>
  <si>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</si>
  <si>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</si>
  <si>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</si>
  <si>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</si>
  <si>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</si>
  <si>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</si>
  <si>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</si>
  <si>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</si>
  <si>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</si>
  <si>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</si>
  <si>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</si>
  <si>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</si>
  <si>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</si>
  <si>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</si>
  <si>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</si>
  <si>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</si>
  <si>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</si>
  <si>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</si>
  <si>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</si>
  <si>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</si>
  <si>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</si>
  <si>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</si>
  <si>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</si>
  <si>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</si>
  <si>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</si>
  <si>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</si>
  <si>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</si>
  <si>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</si>
  <si>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</si>
  <si>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</si>
  <si>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</si>
  <si>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</si>
  <si>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</si>
  <si>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</si>
  <si>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</si>
  <si>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</si>
  <si>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</si>
  <si>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</si>
  <si>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</si>
  <si>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</si>
  <si>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</si>
  <si>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</si>
  <si>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</si>
  <si>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</si>
  <si>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</si>
  <si>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</si>
  <si>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</si>
  <si>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</si>
  <si>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</si>
  <si>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</si>
  <si>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</si>
  <si>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</si>
  <si>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</si>
  <si>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</si>
  <si>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</si>
  <si>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</si>
  <si>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</si>
  <si>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</si>
  <si>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</si>
  <si>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</si>
  <si>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</si>
  <si>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</si>
  <si>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</si>
  <si>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</si>
  <si>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</si>
  <si>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</si>
  <si>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</si>
  <si>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</si>
  <si>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</si>
  <si>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</si>
  <si>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</si>
  <si>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</si>
  <si>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</si>
  <si>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</si>
  <si>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</si>
  <si>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</si>
  <si>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</si>
  <si>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</si>
  <si>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</si>
  <si>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</si>
  <si>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</si>
  <si>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</si>
  <si>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</si>
  <si>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</si>
  <si>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</si>
  <si>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</si>
  <si>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</si>
  <si>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</si>
  <si>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</si>
  <si>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</si>
  <si>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</si>
  <si>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</si>
  <si>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</si>
  <si>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</si>
  <si>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</si>
  <si>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</si>
  <si>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</si>
  <si>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</si>
  <si>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</si>
  <si>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</si>
  <si>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</si>
  <si>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</si>
  <si>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</si>
  <si>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</si>
  <si>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</si>
  <si>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</si>
  <si>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</si>
  <si>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</si>
  <si>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</si>
  <si>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</si>
  <si>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</si>
  <si>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</si>
  <si>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</si>
  <si>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</si>
  <si>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</si>
  <si>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</si>
  <si>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</si>
  <si>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</si>
  <si>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</si>
  <si>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</si>
  <si>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</si>
  <si>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</si>
  <si>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</si>
  <si>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</si>
  <si>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</si>
  <si>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</si>
  <si>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</si>
  <si>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</si>
  <si>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</si>
  <si>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</si>
  <si>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</si>
  <si>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</si>
  <si>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</si>
  <si>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</si>
  <si>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</si>
  <si>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</si>
  <si>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</si>
  <si>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</si>
  <si>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</si>
  <si>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</si>
  <si>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</si>
  <si>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</si>
  <si>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</si>
  <si>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</si>
  <si>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</si>
  <si>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</si>
  <si>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</si>
  <si>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</si>
  <si>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</si>
  <si>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</si>
  <si>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</si>
  <si>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</si>
  <si>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</si>
  <si>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</si>
  <si>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</si>
  <si>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</si>
  <si>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</si>
  <si>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</si>
  <si>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</si>
  <si>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</si>
  <si>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</si>
  <si>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</si>
  <si>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</si>
  <si>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</si>
  <si>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</si>
  <si>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</si>
  <si>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</si>
  <si>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</si>
  <si>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</si>
  <si>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</si>
  <si>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</si>
  <si>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</si>
  <si>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</si>
  <si>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</si>
  <si>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</si>
  <si>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</si>
  <si>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</si>
  <si>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</si>
  <si>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</si>
  <si>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</si>
  <si>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</si>
  <si>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</si>
  <si>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</si>
  <si>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</si>
  <si>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</si>
  <si>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</si>
  <si>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</si>
  <si>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</si>
  <si>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</si>
  <si>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</si>
  <si>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</si>
  <si>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</si>
  <si>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</si>
  <si>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</si>
  <si>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</si>
  <si>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</si>
  <si>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</si>
  <si>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</si>
  <si>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</si>
  <si>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</si>
  <si>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</si>
  <si>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</si>
  <si>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</si>
  <si>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</si>
  <si>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</si>
  <si>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</si>
  <si>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</si>
  <si>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</si>
  <si>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</si>
  <si>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</si>
  <si>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</si>
  <si>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</si>
  <si>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</si>
  <si>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</si>
  <si>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</si>
  <si>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</si>
  <si>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</si>
  <si>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</si>
  <si>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</si>
  <si>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</si>
  <si>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</si>
  <si>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</si>
  <si>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</si>
  <si>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</si>
  <si>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</si>
  <si>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</si>
  <si>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</si>
  <si>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</si>
  <si>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</si>
  <si>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</si>
  <si>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</si>
  <si>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</si>
  <si>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</si>
  <si>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</si>
  <si>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</si>
  <si>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</si>
  <si>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</si>
  <si>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</si>
  <si>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</si>
  <si>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</si>
  <si>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</si>
  <si>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</si>
  <si>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</si>
  <si>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</si>
  <si>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</si>
  <si>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</si>
  <si>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</si>
  <si>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</si>
  <si>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</si>
  <si>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</si>
  <si>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</si>
  <si>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</si>
  <si>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</si>
  <si>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</si>
  <si>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</si>
  <si>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</si>
  <si>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</si>
  <si>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</si>
  <si>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</si>
  <si>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</si>
  <si>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</si>
  <si>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</si>
  <si>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</si>
  <si>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</si>
  <si>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</si>
  <si>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</si>
  <si>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</si>
  <si>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</si>
  <si>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</si>
  <si>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</si>
  <si>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</si>
  <si>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</si>
  <si>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</si>
  <si>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</si>
  <si>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</si>
  <si>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</si>
  <si>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</si>
  <si>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</si>
  <si>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</si>
  <si>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</si>
  <si>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</si>
  <si>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</si>
  <si>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</si>
  <si>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</si>
  <si>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</si>
  <si>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</si>
  <si>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</si>
  <si>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</si>
  <si>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</si>
  <si>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</si>
  <si>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</si>
  <si>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</si>
  <si>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</si>
  <si>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</si>
  <si>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</si>
  <si>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</si>
  <si>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</si>
  <si>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</si>
  <si>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</si>
  <si>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</si>
  <si>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</si>
  <si>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</si>
  <si>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</si>
  <si>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</si>
  <si>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</si>
  <si>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</si>
  <si>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</si>
  <si>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</si>
  <si>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</si>
  <si>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</si>
  <si>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</si>
  <si>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</si>
  <si>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</si>
  <si>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</si>
  <si>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</si>
  <si>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</si>
  <si>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</si>
  <si>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</si>
  <si>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</si>
  <si>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</si>
  <si>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</si>
  <si>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</si>
  <si>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</si>
  <si>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</si>
  <si>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</si>
  <si>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</si>
  <si>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</si>
  <si>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</si>
  <si>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</si>
  <si>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</si>
  <si>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</si>
  <si>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</si>
  <si>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</si>
  <si>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</si>
  <si>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</si>
  <si>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</si>
  <si>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</si>
  <si>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</si>
  <si>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</si>
  <si>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</si>
  <si>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</si>
  <si>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</si>
  <si>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</si>
  <si>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</si>
  <si>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</si>
  <si>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</si>
  <si>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</si>
  <si>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</si>
  <si>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</si>
  <si>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</si>
  <si>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</si>
  <si>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</si>
  <si>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</si>
  <si>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</si>
  <si>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</si>
  <si>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</si>
  <si>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</si>
  <si>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</si>
  <si>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</si>
  <si>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</si>
  <si>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</si>
  <si>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</si>
  <si>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</si>
  <si>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</si>
  <si>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</si>
  <si>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</si>
  <si>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</si>
  <si>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</si>
  <si>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</si>
  <si>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</si>
  <si>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</si>
  <si>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</si>
  <si>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</si>
  <si>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</si>
  <si>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</si>
  <si>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</si>
  <si>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</si>
  <si>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</si>
  <si>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</si>
  <si>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</si>
  <si>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</si>
  <si>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</si>
  <si>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</si>
  <si>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</si>
  <si>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</si>
  <si>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</si>
  <si>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</si>
  <si>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</si>
  <si>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</si>
  <si>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</si>
  <si>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</si>
  <si>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</si>
  <si>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</si>
  <si>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</si>
  <si>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</si>
  <si>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</si>
  <si>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</si>
  <si>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</si>
  <si>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</si>
  <si>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</si>
  <si>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</si>
  <si>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</si>
  <si>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</si>
  <si>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</si>
  <si>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</si>
  <si>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</si>
  <si>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</si>
  <si>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</si>
  <si>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</si>
  <si>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</si>
  <si>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</si>
  <si>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</si>
  <si>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</si>
  <si>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</si>
  <si>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</si>
  <si>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</si>
  <si>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</si>
  <si>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</si>
  <si>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</si>
  <si>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</si>
  <si>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</si>
  <si>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</si>
  <si>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</si>
  <si>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</si>
  <si>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</si>
  <si>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</si>
  <si>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</si>
  <si>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</si>
  <si>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</si>
  <si>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</si>
  <si>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</si>
  <si>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</si>
  <si>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</si>
  <si>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</si>
  <si>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</si>
  <si>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</si>
  <si>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</si>
  <si>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</si>
  <si>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</si>
  <si>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</si>
  <si>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</si>
  <si>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</si>
  <si>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</si>
  <si>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</si>
  <si>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</si>
  <si>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</si>
  <si>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</si>
  <si>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</si>
  <si>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</si>
  <si>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논리모델구축</t>
  </si>
  <si>
    <t>설계</t>
  </si>
  <si>
    <t>UI 설계</t>
  </si>
  <si>
    <t>시스템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</si>
  <si>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</si>
  <si>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</si>
  <si>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</si>
  <si>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</si>
  <si>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</si>
  <si>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</si>
  <si>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</si>
  <si>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</si>
  <si>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</si>
  <si>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</si>
  <si>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</si>
  <si>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</si>
  <si>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</si>
  <si>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</si>
  <si>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</si>
  <si>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</si>
  <si>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</si>
  <si>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</si>
  <si>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</si>
  <si>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</si>
  <si>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</si>
  <si>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</si>
  <si>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</si>
  <si>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</si>
  <si>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</si>
  <si>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</si>
  <si>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</si>
  <si>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</si>
  <si>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</si>
  <si>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</si>
  <si>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</si>
  <si>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</si>
  <si>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</si>
  <si>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</si>
  <si>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</si>
  <si>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</si>
  <si>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</si>
  <si>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</si>
  <si>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</si>
  <si>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</si>
  <si>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</si>
  <si>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</si>
  <si>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</si>
  <si>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</si>
  <si>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</si>
  <si>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</si>
  <si>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</si>
  <si>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</si>
  <si>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</si>
  <si>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</si>
  <si>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</si>
  <si>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</si>
  <si>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</si>
  <si>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</si>
  <si>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</si>
  <si>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</si>
  <si>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</si>
  <si>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</si>
  <si>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</si>
  <si>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</si>
  <si>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</si>
  <si>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</si>
  <si>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</si>
  <si>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</si>
  <si>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</si>
  <si>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</si>
  <si>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</si>
  <si>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</si>
  <si>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2</t>
  </si>
  <si>
    <t>2.1</t>
  </si>
  <si>
    <t>2.1.2</t>
  </si>
  <si>
    <t>2.2</t>
  </si>
  <si>
    <t>2.2.2</t>
  </si>
  <si>
    <t>2.3</t>
  </si>
  <si>
    <t>2.3.1</t>
  </si>
  <si>
    <t>2.3.1.2</t>
  </si>
  <si>
    <t>2.3.1.2.1</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</si>
  <si>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</si>
  <si>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</si>
  <si>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</si>
  <si>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</si>
  <si>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</si>
  <si>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</si>
  <si>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</si>
  <si>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</si>
  <si>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</si>
  <si>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</si>
  <si>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</si>
  <si>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</si>
  <si>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</si>
  <si>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</si>
  <si>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</si>
  <si>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</si>
  <si>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</si>
  <si>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</si>
  <si>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</si>
  <si>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</si>
  <si>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</si>
  <si>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</si>
  <si>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</si>
  <si>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</si>
  <si>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</si>
  <si>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</si>
  <si>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</si>
  <si>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</si>
  <si>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</si>
  <si>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</si>
  <si>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TODAY</t>
    <phoneticPr fontId="2"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</si>
  <si>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</si>
  <si>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</si>
  <si>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</si>
  <si>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</si>
  <si>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</si>
  <si>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</si>
  <si>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리듬타타키</t>
    <phoneticPr fontId="2" type="noConversion"/>
  </si>
  <si>
    <t>김도형</t>
  </si>
  <si>
    <t>전체</t>
  </si>
  <si>
    <t>류경호</t>
  </si>
  <si>
    <t>시장조사 및 벤치마킹</t>
  </si>
  <si>
    <t>컨텐츠 기획</t>
  </si>
  <si>
    <t>김보령</t>
  </si>
  <si>
    <t>김가연</t>
  </si>
  <si>
    <t>김도형, 김가연, 김보령</t>
  </si>
  <si>
    <t>프로토타입</t>
  </si>
  <si>
    <t>송주헌</t>
  </si>
  <si>
    <t>아두이노 센서 값 컨트롤</t>
  </si>
  <si>
    <t>아두이노 블루투스 통신 확인</t>
  </si>
  <si>
    <t>아두이노 센서 값 블루투스로 통신 및 레이턴시 확인</t>
  </si>
  <si>
    <t>프로젝트기획서.hwp</t>
  </si>
  <si>
    <t>분석보고서.hwp</t>
  </si>
  <si>
    <t>김가연, 김보령</t>
  </si>
  <si>
    <t>컨텐츠기획서.hwp</t>
  </si>
  <si>
    <t>게임 화면 정의</t>
  </si>
  <si>
    <t>웹 화면 정의</t>
  </si>
  <si>
    <t>디자인기획서.hwp</t>
  </si>
  <si>
    <t>개발 단계 및 일정 설계</t>
  </si>
  <si>
    <t>WBS단위 일정관리표.xls</t>
  </si>
  <si>
    <t>DB설계</t>
  </si>
  <si>
    <t>DB설계보고서</t>
  </si>
  <si>
    <t>메뉴구성도, 웹사이트메뉴 구조표</t>
  </si>
  <si>
    <t>프로토타입 개발</t>
  </si>
  <si>
    <t>아두이노와 스마트폰 USB 통신 확인 및 레이턴시 확인</t>
  </si>
  <si>
    <t>2.1.3</t>
  </si>
  <si>
    <t>2.1.3.1</t>
  </si>
  <si>
    <t>2.1.3.2</t>
  </si>
  <si>
    <t>2.2.4</t>
  </si>
  <si>
    <t>2.2.4.1</t>
  </si>
  <si>
    <t>2.2.4.2</t>
  </si>
  <si>
    <t>2.3.1.3</t>
  </si>
  <si>
    <t>2.3.1.4</t>
  </si>
  <si>
    <t>아두이노</t>
  </si>
  <si>
    <t>서버, DB</t>
  </si>
  <si>
    <t>2.3.1.1.1</t>
  </si>
  <si>
    <t>2.3.1.1.2</t>
  </si>
  <si>
    <t>2.3.1.1.3</t>
  </si>
  <si>
    <t>2.3.1.1.4</t>
  </si>
  <si>
    <t>2.3.1.1.5</t>
  </si>
  <si>
    <t>2.3.1.4.1</t>
  </si>
  <si>
    <t>웹 서비스</t>
  </si>
  <si>
    <t>서버구축(AWS)</t>
  </si>
  <si>
    <t>2.3.1.3.1</t>
  </si>
  <si>
    <t>숭주헌</t>
  </si>
  <si>
    <t>프로토타입용 드럼 개발</t>
  </si>
  <si>
    <t>2.3.1.1.6</t>
  </si>
  <si>
    <t>김가연, 김도형</t>
  </si>
  <si>
    <t>계획_x000D_
기간</t>
    <phoneticPr fontId="8" type="noConversion"/>
  </si>
  <si>
    <t>산출물</t>
    <phoneticPr fontId="8" type="noConversion"/>
  </si>
  <si>
    <t>비고</t>
    <phoneticPr fontId="8" type="noConversion"/>
  </si>
  <si>
    <t>완료일*</t>
    <phoneticPr fontId="8" type="noConversion"/>
  </si>
  <si>
    <t>총_x000D_
작업량</t>
    <phoneticPr fontId="8" type="noConversion"/>
  </si>
  <si>
    <t>아두이노 센서 값과 Unity 블루투스 시리얼 통신</t>
  </si>
  <si>
    <t>김도형, 송주헌</t>
  </si>
  <si>
    <t>Calendar</t>
    <phoneticPr fontId="8" type="noConversion"/>
  </si>
  <si>
    <t>실제_x000D_
시작일</t>
    <phoneticPr fontId="8" type="noConversion"/>
  </si>
  <si>
    <t>계획</t>
    <phoneticPr fontId="8" type="noConversion"/>
  </si>
  <si>
    <t>게임구현(유니티)</t>
  </si>
  <si>
    <t>프리모드</t>
  </si>
  <si>
    <t>연주모드</t>
  </si>
  <si>
    <t>게임모드</t>
  </si>
  <si>
    <t>노래선택 화면 씬 구현</t>
  </si>
  <si>
    <t>사용자 로컬의 오디오 파일 불러오기 Test</t>
  </si>
  <si>
    <t>게임화면 씬 구현</t>
  </si>
  <si>
    <t>화면 터치 시의 씬 구현</t>
  </si>
  <si>
    <t>2.3.1.2.1.4</t>
  </si>
  <si>
    <t>노트 값 생성</t>
  </si>
  <si>
    <t>노트 값 txt 저장</t>
  </si>
  <si>
    <t>2.3.1.2.1.5</t>
  </si>
  <si>
    <t>2.3.1.2.1.6</t>
  </si>
  <si>
    <t>게임 종료 씬 구현</t>
  </si>
  <si>
    <t>task_group</t>
    <phoneticPr fontId="8" type="noConversion"/>
  </si>
  <si>
    <t>게임 화면 녹화 기능</t>
  </si>
  <si>
    <t>계획_x000D_
작업량</t>
    <phoneticPr fontId="8" type="noConversion"/>
  </si>
  <si>
    <t>저장하기 클릭 시 DB저장</t>
  </si>
  <si>
    <t>DEFINED</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</si>
  <si>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</si>
  <si>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</si>
  <si>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</si>
  <si>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</si>
  <si>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</si>
  <si>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doc*</t>
    <phoneticPr fontId="8" type="noConversion"/>
  </si>
  <si>
    <t>엑셀</t>
    <phoneticPr fontId="8" type="noConversion"/>
  </si>
  <si>
    <t>xls*</t>
    <phoneticPr fontId="8" type="noConversion"/>
  </si>
  <si>
    <t>Auto CAD</t>
    <phoneticPr fontId="8" type="noConversion"/>
  </si>
  <si>
    <t>cad</t>
    <phoneticPr fontId="8" type="noConversion"/>
  </si>
  <si>
    <t>c:\cad\cad\cad.exe</t>
    <phoneticPr fontId="8" type="noConversion"/>
  </si>
  <si>
    <t>아크로에디터</t>
    <phoneticPr fontId="8" type="noConversion"/>
  </si>
  <si>
    <t>ace</t>
    <phoneticPr fontId="8" type="noConversion"/>
  </si>
  <si>
    <t>c:\ace\aaa.exe</t>
    <phoneticPr fontId="8" type="noConversion"/>
  </si>
  <si>
    <t>메모장</t>
    <phoneticPr fontId="8" type="noConversion"/>
  </si>
  <si>
    <t>txt</t>
    <phoneticPr fontId="8" type="noConversion"/>
  </si>
  <si>
    <t>C:\WINDOWS\system32\notepad.exe</t>
    <phoneticPr fontId="8" type="noConversion"/>
  </si>
  <si>
    <t>E</t>
    <phoneticPr fontId="2" type="noConversion"/>
  </si>
  <si>
    <t>1:English,82:Korean</t>
    <phoneticPr fontId="2" type="noConversion"/>
  </si>
  <si>
    <t>소개페이지</t>
  </si>
  <si>
    <t>편집 툴</t>
  </si>
  <si>
    <t>스토어</t>
  </si>
  <si>
    <t>게시판(메인페이지)</t>
  </si>
  <si>
    <t>wbs_level</t>
    <phoneticPr fontId="8" type="noConversion"/>
  </si>
  <si>
    <t>2.3.1.3.2</t>
  </si>
  <si>
    <t>2.3.1.3.3</t>
  </si>
  <si>
    <t>2.3.1.3.4</t>
  </si>
  <si>
    <t>{"TASK_FIRST_COL":"5","START_ROW":"5","WBS_AREA_LAST_COL":"28"}</t>
    <phoneticPr fontId="8" type="noConversion"/>
  </si>
  <si>
    <t>SCHEDULE_SHEET_POSITION:3545121314151617181920212223242526272829</t>
    <phoneticPr fontId="2" type="noConversion"/>
  </si>
  <si>
    <t>시작일*</t>
    <phoneticPr fontId="8" type="noConversion"/>
  </si>
  <si>
    <t>가중치</t>
    <phoneticPr fontId="8" type="noConversion"/>
  </si>
  <si>
    <t>화면에 노트 구현</t>
  </si>
  <si>
    <t>노트 판정 스크립트 구현</t>
  </si>
  <si>
    <t>노트 타격 효과 구현</t>
  </si>
  <si>
    <t>프로젝트 진행율 - 일정변경 관리하지 않을때</t>
    <phoneticPr fontId="8" type="noConversion"/>
  </si>
  <si>
    <t>2.3.1.2.2.1</t>
  </si>
  <si>
    <t>2.3.1.2.2.2</t>
  </si>
  <si>
    <t>2.3.1.2.2.3</t>
  </si>
  <si>
    <t>2.3.1.2.2.4</t>
  </si>
  <si>
    <t>2.3.1.2.2.5</t>
  </si>
  <si>
    <t>2.3.1.2.2.6</t>
  </si>
  <si>
    <t>2.3.1.2.2.7</t>
  </si>
  <si>
    <t>김도형, 김가연</t>
  </si>
  <si>
    <t>속도 및 모드 선택</t>
  </si>
  <si>
    <t>속도(1,2,3) 모드(easy, normal, hard)</t>
  </si>
  <si>
    <t>12곡 노트 생성</t>
  </si>
  <si>
    <t>게임 시작 로딩 기능 구현</t>
  </si>
  <si>
    <t>ready -&gt; start 후 노래 재생</t>
  </si>
  <si>
    <t>2.3.1.2.2.8</t>
  </si>
  <si>
    <t>miss, good, perfect</t>
  </si>
  <si>
    <t>콤보에 따른 화면 표시</t>
  </si>
  <si>
    <t>점수 계산 및 화면에 점수 반영</t>
  </si>
  <si>
    <t>콤보에 따른 효과 구현</t>
  </si>
  <si>
    <t>판정에 따라 실시간 화면에 반영</t>
  </si>
  <si>
    <t>2.3.1.2.2.9</t>
  </si>
  <si>
    <t>일시정지</t>
  </si>
  <si>
    <t>FFT로 오디오 분석</t>
  </si>
  <si>
    <t>분석자료에서 최고 Hz추출</t>
  </si>
  <si>
    <t>노트생성</t>
  </si>
  <si>
    <t>노트 자동 생성 검토</t>
  </si>
  <si>
    <t>버그 수정 및 검토</t>
  </si>
  <si>
    <t>김가연, 김가연</t>
  </si>
  <si>
    <t>게임 내 로그인 구현</t>
  </si>
  <si>
    <t>로그인 씬 구현</t>
  </si>
  <si>
    <t>회원가입 씬 구현</t>
  </si>
  <si>
    <t>회원가입 기능 구현</t>
  </si>
  <si>
    <t>로그인 기능 구현</t>
  </si>
  <si>
    <t>구글 연동</t>
  </si>
  <si>
    <t>구글 자동 로그인</t>
  </si>
  <si>
    <t>게임선택 화면 씬</t>
  </si>
  <si>
    <t>게임 설명 화면 구현</t>
  </si>
  <si>
    <t>2.3.1.2.3.1</t>
  </si>
  <si>
    <t>2.3.1.2.3.2</t>
  </si>
  <si>
    <t>2.3.1.2.3.3</t>
  </si>
  <si>
    <t>2.3.1.2.3.4</t>
  </si>
  <si>
    <t>2.3.1.2.3.5</t>
  </si>
  <si>
    <t>2.3.1.2.3.6</t>
  </si>
  <si>
    <t>2.3.1.2.3.7</t>
  </si>
  <si>
    <t>2.3.1.2.3.8</t>
  </si>
  <si>
    <t>2.3.1.2.3.9</t>
  </si>
  <si>
    <t>2.3.1.2.3.10</t>
  </si>
  <si>
    <t>2.3.1.2.3.11</t>
  </si>
  <si>
    <t>2.3.1.2.3.12</t>
  </si>
  <si>
    <t>2.3.1.2.3.13</t>
  </si>
  <si>
    <t>2.3.1.2.3.14</t>
  </si>
  <si>
    <t>2.3.1.2.3.15</t>
  </si>
  <si>
    <t>2.3.1.2.3.16</t>
  </si>
  <si>
    <t>2.3.1.2.4.1</t>
  </si>
  <si>
    <t>2.3.1.2.4.2</t>
  </si>
  <si>
    <t>동영상으로 처리, 건너뛰기</t>
  </si>
  <si>
    <t>노래 재생</t>
  </si>
  <si>
    <t>2.3.1.2.4.3</t>
  </si>
  <si>
    <t>2.3.1.2.4.4</t>
  </si>
  <si>
    <t>구름 오르기 게임.</t>
  </si>
  <si>
    <t>커맨드 랜덤 생성 메소드</t>
  </si>
  <si>
    <t>커맨드에 따른 구름 생성 메소드</t>
  </si>
  <si>
    <t>커맨드에 맞춘 자동 점프</t>
  </si>
  <si>
    <t>커맨드 Miss 시 생명 감소</t>
  </si>
  <si>
    <t>생셩 총 3개</t>
  </si>
  <si>
    <t>게임 오버 씬 구현</t>
  </si>
  <si>
    <t>점수, 콤보</t>
  </si>
  <si>
    <t>블록 없애기 게임</t>
  </si>
  <si>
    <t>블록 랜덤 생성</t>
  </si>
  <si>
    <t>2.3.1.2.4.5</t>
  </si>
  <si>
    <t>2.3.1.2.4.6</t>
  </si>
  <si>
    <t>2.3.1.2.4.7</t>
  </si>
  <si>
    <t>2.3.1.2.4.8</t>
  </si>
  <si>
    <t>2.3.1.2.4.9</t>
  </si>
  <si>
    <t>2.3.1.2.4.10</t>
  </si>
  <si>
    <t>2.3.1.2.4.11</t>
  </si>
  <si>
    <t>타격 시 블록 제거,  효과 구현</t>
  </si>
  <si>
    <t>2.3.1.2.4.12</t>
  </si>
  <si>
    <t>점수에 따른 노래 배속</t>
  </si>
  <si>
    <t>콤보 효과</t>
  </si>
  <si>
    <t>2.3.1.2.4.13</t>
  </si>
  <si>
    <t>2.3.1.2.4.14</t>
  </si>
  <si>
    <t>시간 경과 시 게임종료</t>
  </si>
  <si>
    <t>2.3.1.2.4.15</t>
  </si>
  <si>
    <t>2.3.1.2.4.16</t>
  </si>
  <si>
    <t>WBS</t>
    <phoneticPr fontId="8" type="noConversion"/>
  </si>
  <si>
    <t>작업*</t>
    <phoneticPr fontId="8" type="noConversion"/>
  </si>
  <si>
    <t>총_x000D_
기간</t>
    <phoneticPr fontId="8" type="noConversion"/>
  </si>
  <si>
    <t>실제_x000D_
완료일</t>
    <phoneticPr fontId="8" type="noConversion"/>
  </si>
  <si>
    <t>실제_x000D_
총작업량</t>
    <phoneticPr fontId="8" type="noConversion"/>
  </si>
  <si>
    <t>실제_x000D_
총기간</t>
    <phoneticPr fontId="8" type="noConversion"/>
  </si>
  <si>
    <t>담당</t>
    <phoneticPr fontId="8" type="noConversion"/>
  </si>
  <si>
    <t>실적*</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</si>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</sst>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b/>
      <sz val="9"/>
      <color indexed="81"/>
      <name val="Tahoma"/>
      <family val="2"/>
    </font>
    <font>
      <b/>
      <sz val="9"/>
      <color indexed="81"/>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NumberFormat="1"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14" fontId="44" fillId="0" borderId="7" xfId="4" applyNumberFormat="1" applyFont="1" applyFill="1" applyBorder="1" applyAlignment="1" applyProtection="1">
      <alignment horizontal="lef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44" fillId="8" borderId="7" xfId="4" applyFont="1" applyFill="1" applyBorder="1" applyAlignment="1" applyProtection="1">
      <alignment horizontal="left" vertical="top"/>
      <protection locked="0"/>
    </xf>
    <xf numFmtId="14"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left" vertical="top"/>
      <protection locked="0"/>
    </xf>
    <xf numFmtId="176"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center" vertical="top"/>
      <protection locked="0"/>
    </xf>
    <xf numFmtId="177" fontId="12" fillId="8" borderId="7" xfId="4" applyNumberFormat="1" applyFont="1" applyFill="1" applyBorder="1" applyAlignment="1" applyProtection="1">
      <alignment horizontal="center" vertical="top"/>
      <protection locked="0"/>
    </xf>
    <xf numFmtId="1" fontId="12" fillId="8" borderId="7" xfId="4" applyNumberFormat="1" applyFont="1" applyFill="1" applyBorder="1" applyAlignment="1" applyProtection="1">
      <alignment horizontal="center" vertical="top"/>
      <protection locked="0"/>
    </xf>
    <xf numFmtId="179" fontId="12" fillId="8" borderId="7" xfId="4" applyNumberFormat="1"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left" vertical="top"/>
      <protection locked="0"/>
    </xf>
    <xf numFmtId="10" fontId="12" fillId="8" borderId="7" xfId="6" applyNumberFormat="1" applyFont="1" applyFill="1" applyBorder="1" applyAlignment="1" applyProtection="1">
      <alignment horizontal="right" vertical="top" wrapText="1"/>
      <protection locked="0"/>
    </xf>
    <xf numFmtId="10" fontId="12" fillId="8" borderId="7" xfId="6" applyNumberFormat="1" applyFont="1" applyFill="1" applyBorder="1" applyAlignment="1" applyProtection="1">
      <alignment horizontal="right" vertical="top"/>
      <protection locked="0"/>
    </xf>
    <xf numFmtId="0" fontId="12" fillId="3" borderId="7" xfId="4" quotePrefix="1" applyFont="1" applyFill="1" applyBorder="1" applyAlignment="1" applyProtection="1">
      <alignment horizontal="right" vertical="top"/>
      <protection locked="0"/>
    </xf>
    <xf numFmtId="0" fontId="12" fillId="3" borderId="7" xfId="4"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left" vertical="top"/>
      <protection locked="0"/>
    </xf>
    <xf numFmtId="176"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center" vertical="top"/>
      <protection locked="0"/>
    </xf>
    <xf numFmtId="177" fontId="12" fillId="3" borderId="7" xfId="4" applyNumberFormat="1" applyFont="1" applyFill="1" applyBorder="1" applyAlignment="1" applyProtection="1">
      <alignment horizontal="center" vertical="top"/>
      <protection locked="0"/>
    </xf>
    <xf numFmtId="1" fontId="12" fillId="3" borderId="7" xfId="4" applyNumberFormat="1" applyFont="1" applyFill="1" applyBorder="1" applyAlignment="1" applyProtection="1">
      <alignment horizontal="center" vertical="top"/>
      <protection locked="0"/>
    </xf>
    <xf numFmtId="179" fontId="12" fillId="3" borderId="7" xfId="4" applyNumberFormat="1" applyFont="1" applyFill="1" applyBorder="1" applyAlignment="1" applyProtection="1">
      <alignment horizontal="center" vertical="top"/>
      <protection locked="0"/>
    </xf>
    <xf numFmtId="0" fontId="44" fillId="3" borderId="7" xfId="4" applyNumberFormat="1"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left" vertical="top"/>
      <protection locked="0"/>
    </xf>
    <xf numFmtId="10" fontId="12" fillId="3" borderId="7" xfId="6" applyNumberFormat="1" applyFont="1" applyFill="1" applyBorder="1" applyAlignment="1" applyProtection="1">
      <alignment horizontal="right" vertical="top" wrapText="1"/>
      <protection locked="0"/>
    </xf>
    <xf numFmtId="10" fontId="12" fillId="3" borderId="7" xfId="6" applyNumberFormat="1" applyFont="1" applyFill="1" applyBorder="1" applyAlignment="1" applyProtection="1">
      <alignment horizontal="right" vertical="top"/>
      <protection locked="0"/>
    </xf>
    <xf numFmtId="14" fontId="12" fillId="8" borderId="7" xfId="4" applyNumberFormat="1" applyFont="1" applyFill="1" applyBorder="1" applyAlignment="1" applyProtection="1">
      <alignment horizontal="left" vertical="top"/>
      <protection locked="0"/>
    </xf>
    <xf numFmtId="0" fontId="44" fillId="0" borderId="25" xfId="4" applyFont="1" applyFill="1" applyBorder="1" applyAlignment="1" applyProtection="1">
      <alignment horizontal="left" vertical="top"/>
      <protection locked="0"/>
    </xf>
    <xf numFmtId="0" fontId="44" fillId="3" borderId="7" xfId="4"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E02-4275-ACEB-495AD0403410}"/>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43</xdr:col>
      <xdr:colOff>761999</xdr:colOff>
      <xdr:row>3</xdr:row>
      <xdr:rowOff>59690</xdr:rowOff>
    </xdr:from>
    <xdr:to>
      <xdr:col>43</xdr:col>
      <xdr:colOff>761999</xdr:colOff>
      <xdr:row>119</xdr:row>
      <xdr:rowOff>0</xdr:rowOff>
    </xdr:to>
    <xdr:cxnSp macro="">
      <xdr:nvCxnSpPr>
        <xdr:cNvPr id="29094" name="직선 화살표 연결선 29093"/>
        <xdr:cNvCxnSpPr/>
      </xdr:nvCxnSpPr>
      <xdr:spPr>
        <a:xfrm>
          <a:off x="24094439" y="753110"/>
          <a:ext cx="0" cy="17527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xdr:row>
      <xdr:rowOff>59690</xdr:rowOff>
    </xdr:from>
    <xdr:to>
      <xdr:col>31</xdr:col>
      <xdr:colOff>103414</xdr:colOff>
      <xdr:row>119</xdr:row>
      <xdr:rowOff>0</xdr:rowOff>
    </xdr:to>
    <xdr:cxnSp macro="">
      <xdr:nvCxnSpPr>
        <xdr:cNvPr id="29095" name="직선 화살표 연결선 29094"/>
        <xdr:cNvCxnSpPr/>
      </xdr:nvCxnSpPr>
      <xdr:spPr>
        <a:xfrm>
          <a:off x="12440194" y="753110"/>
          <a:ext cx="0" cy="1752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118</xdr:row>
      <xdr:rowOff>19050</xdr:rowOff>
    </xdr:from>
    <xdr:to>
      <xdr:col>31</xdr:col>
      <xdr:colOff>41366</xdr:colOff>
      <xdr:row>118</xdr:row>
      <xdr:rowOff>133350</xdr:rowOff>
    </xdr:to>
    <xdr:sp macro="" textlink="">
      <xdr:nvSpPr>
        <xdr:cNvPr id="29096" name="직사각형 29095"/>
        <xdr:cNvSpPr/>
      </xdr:nvSpPr>
      <xdr:spPr>
        <a:xfrm>
          <a:off x="12357463" y="18147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118</xdr:row>
      <xdr:rowOff>76200</xdr:rowOff>
    </xdr:from>
    <xdr:to>
      <xdr:col>31</xdr:col>
      <xdr:colOff>20683</xdr:colOff>
      <xdr:row>118</xdr:row>
      <xdr:rowOff>76200</xdr:rowOff>
    </xdr:to>
    <xdr:cxnSp macro="">
      <xdr:nvCxnSpPr>
        <xdr:cNvPr id="29097" name="직선 화살표 연결선 29096"/>
        <xdr:cNvCxnSpPr/>
      </xdr:nvCxnSpPr>
      <xdr:spPr>
        <a:xfrm>
          <a:off x="12357463" y="1820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117</xdr:row>
      <xdr:rowOff>19050</xdr:rowOff>
    </xdr:from>
    <xdr:to>
      <xdr:col>31</xdr:col>
      <xdr:colOff>41366</xdr:colOff>
      <xdr:row>117</xdr:row>
      <xdr:rowOff>133350</xdr:rowOff>
    </xdr:to>
    <xdr:sp macro="" textlink="">
      <xdr:nvSpPr>
        <xdr:cNvPr id="29098" name="직사각형 29097"/>
        <xdr:cNvSpPr/>
      </xdr:nvSpPr>
      <xdr:spPr>
        <a:xfrm>
          <a:off x="12357463" y="179946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117</xdr:row>
      <xdr:rowOff>76200</xdr:rowOff>
    </xdr:from>
    <xdr:to>
      <xdr:col>31</xdr:col>
      <xdr:colOff>20683</xdr:colOff>
      <xdr:row>117</xdr:row>
      <xdr:rowOff>76200</xdr:rowOff>
    </xdr:to>
    <xdr:cxnSp macro="">
      <xdr:nvCxnSpPr>
        <xdr:cNvPr id="29099" name="직선 화살표 연결선 29098"/>
        <xdr:cNvCxnSpPr/>
      </xdr:nvCxnSpPr>
      <xdr:spPr>
        <a:xfrm>
          <a:off x="12357463" y="1805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76</xdr:row>
      <xdr:rowOff>19050</xdr:rowOff>
    </xdr:from>
    <xdr:to>
      <xdr:col>34</xdr:col>
      <xdr:colOff>41365</xdr:colOff>
      <xdr:row>76</xdr:row>
      <xdr:rowOff>133350</xdr:rowOff>
    </xdr:to>
    <xdr:sp macro="" textlink="">
      <xdr:nvSpPr>
        <xdr:cNvPr id="29100" name="직사각형 29099"/>
        <xdr:cNvSpPr/>
      </xdr:nvSpPr>
      <xdr:spPr>
        <a:xfrm>
          <a:off x="12791803" y="11746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76</xdr:row>
      <xdr:rowOff>76200</xdr:rowOff>
    </xdr:from>
    <xdr:to>
      <xdr:col>34</xdr:col>
      <xdr:colOff>20683</xdr:colOff>
      <xdr:row>76</xdr:row>
      <xdr:rowOff>76200</xdr:rowOff>
    </xdr:to>
    <xdr:cxnSp macro="">
      <xdr:nvCxnSpPr>
        <xdr:cNvPr id="29101" name="직선 화살표 연결선 29100"/>
        <xdr:cNvCxnSpPr/>
      </xdr:nvCxnSpPr>
      <xdr:spPr>
        <a:xfrm>
          <a:off x="12791803"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75</xdr:row>
      <xdr:rowOff>19050</xdr:rowOff>
    </xdr:from>
    <xdr:to>
      <xdr:col>34</xdr:col>
      <xdr:colOff>41365</xdr:colOff>
      <xdr:row>75</xdr:row>
      <xdr:rowOff>133350</xdr:rowOff>
    </xdr:to>
    <xdr:sp macro="" textlink="">
      <xdr:nvSpPr>
        <xdr:cNvPr id="29102" name="직사각형 29101"/>
        <xdr:cNvSpPr/>
      </xdr:nvSpPr>
      <xdr:spPr>
        <a:xfrm>
          <a:off x="12791803" y="11593830"/>
          <a:ext cx="206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75</xdr:row>
      <xdr:rowOff>76200</xdr:rowOff>
    </xdr:from>
    <xdr:to>
      <xdr:col>34</xdr:col>
      <xdr:colOff>20683</xdr:colOff>
      <xdr:row>75</xdr:row>
      <xdr:rowOff>76200</xdr:rowOff>
    </xdr:to>
    <xdr:cxnSp macro="">
      <xdr:nvCxnSpPr>
        <xdr:cNvPr id="29103" name="직선 화살표 연결선 29102"/>
        <xdr:cNvCxnSpPr/>
      </xdr:nvCxnSpPr>
      <xdr:spPr>
        <a:xfrm>
          <a:off x="12791803"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74</xdr:row>
      <xdr:rowOff>19050</xdr:rowOff>
    </xdr:from>
    <xdr:to>
      <xdr:col>34</xdr:col>
      <xdr:colOff>20683</xdr:colOff>
      <xdr:row>74</xdr:row>
      <xdr:rowOff>133350</xdr:rowOff>
    </xdr:to>
    <xdr:sp macro="" textlink="">
      <xdr:nvSpPr>
        <xdr:cNvPr id="29104" name="직사각형 29103"/>
        <xdr:cNvSpPr/>
      </xdr:nvSpPr>
      <xdr:spPr>
        <a:xfrm>
          <a:off x="12647023" y="114414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74</xdr:row>
      <xdr:rowOff>76200</xdr:rowOff>
    </xdr:from>
    <xdr:to>
      <xdr:col>33</xdr:col>
      <xdr:colOff>20683</xdr:colOff>
      <xdr:row>74</xdr:row>
      <xdr:rowOff>76200</xdr:rowOff>
    </xdr:to>
    <xdr:cxnSp macro="">
      <xdr:nvCxnSpPr>
        <xdr:cNvPr id="29105" name="직선 화살표 연결선 29104"/>
        <xdr:cNvCxnSpPr/>
      </xdr:nvCxnSpPr>
      <xdr:spPr>
        <a:xfrm>
          <a:off x="12647023"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73</xdr:row>
      <xdr:rowOff>19050</xdr:rowOff>
    </xdr:from>
    <xdr:to>
      <xdr:col>35</xdr:col>
      <xdr:colOff>20683</xdr:colOff>
      <xdr:row>73</xdr:row>
      <xdr:rowOff>133350</xdr:rowOff>
    </xdr:to>
    <xdr:sp macro="" textlink="">
      <xdr:nvSpPr>
        <xdr:cNvPr id="29106" name="직사각형 29105"/>
        <xdr:cNvSpPr/>
      </xdr:nvSpPr>
      <xdr:spPr>
        <a:xfrm>
          <a:off x="12833169" y="11289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73</xdr:row>
      <xdr:rowOff>76200</xdr:rowOff>
    </xdr:from>
    <xdr:to>
      <xdr:col>34</xdr:col>
      <xdr:colOff>62049</xdr:colOff>
      <xdr:row>73</xdr:row>
      <xdr:rowOff>76200</xdr:rowOff>
    </xdr:to>
    <xdr:cxnSp macro="">
      <xdr:nvCxnSpPr>
        <xdr:cNvPr id="29107" name="직선 화살표 연결선 29106"/>
        <xdr:cNvCxnSpPr/>
      </xdr:nvCxnSpPr>
      <xdr:spPr>
        <a:xfrm>
          <a:off x="12833169"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72</xdr:row>
      <xdr:rowOff>19050</xdr:rowOff>
    </xdr:from>
    <xdr:to>
      <xdr:col>34</xdr:col>
      <xdr:colOff>82731</xdr:colOff>
      <xdr:row>72</xdr:row>
      <xdr:rowOff>133350</xdr:rowOff>
    </xdr:to>
    <xdr:sp macro="" textlink="">
      <xdr:nvSpPr>
        <xdr:cNvPr id="29108" name="직사각형 29107"/>
        <xdr:cNvSpPr/>
      </xdr:nvSpPr>
      <xdr:spPr>
        <a:xfrm>
          <a:off x="12750437" y="1113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72</xdr:row>
      <xdr:rowOff>76200</xdr:rowOff>
    </xdr:from>
    <xdr:to>
      <xdr:col>33</xdr:col>
      <xdr:colOff>124097</xdr:colOff>
      <xdr:row>72</xdr:row>
      <xdr:rowOff>76200</xdr:rowOff>
    </xdr:to>
    <xdr:cxnSp macro="">
      <xdr:nvCxnSpPr>
        <xdr:cNvPr id="29109" name="직선 화살표 연결선 29108"/>
        <xdr:cNvCxnSpPr/>
      </xdr:nvCxnSpPr>
      <xdr:spPr>
        <a:xfrm>
          <a:off x="12750437"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71</xdr:row>
      <xdr:rowOff>19050</xdr:rowOff>
    </xdr:from>
    <xdr:to>
      <xdr:col>33</xdr:col>
      <xdr:colOff>124097</xdr:colOff>
      <xdr:row>71</xdr:row>
      <xdr:rowOff>133350</xdr:rowOff>
    </xdr:to>
    <xdr:sp macro="" textlink="">
      <xdr:nvSpPr>
        <xdr:cNvPr id="29110" name="직사각형 29109"/>
        <xdr:cNvSpPr/>
      </xdr:nvSpPr>
      <xdr:spPr>
        <a:xfrm>
          <a:off x="12605657" y="109842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71</xdr:row>
      <xdr:rowOff>76200</xdr:rowOff>
    </xdr:from>
    <xdr:to>
      <xdr:col>32</xdr:col>
      <xdr:colOff>124097</xdr:colOff>
      <xdr:row>71</xdr:row>
      <xdr:rowOff>76200</xdr:rowOff>
    </xdr:to>
    <xdr:cxnSp macro="">
      <xdr:nvCxnSpPr>
        <xdr:cNvPr id="29111" name="직선 화살표 연결선 29110"/>
        <xdr:cNvCxnSpPr/>
      </xdr:nvCxnSpPr>
      <xdr:spPr>
        <a:xfrm>
          <a:off x="12605657"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70</xdr:row>
      <xdr:rowOff>19050</xdr:rowOff>
    </xdr:from>
    <xdr:to>
      <xdr:col>32</xdr:col>
      <xdr:colOff>124097</xdr:colOff>
      <xdr:row>70</xdr:row>
      <xdr:rowOff>133350</xdr:rowOff>
    </xdr:to>
    <xdr:sp macro="" textlink="">
      <xdr:nvSpPr>
        <xdr:cNvPr id="29112" name="직사각형 29111"/>
        <xdr:cNvSpPr/>
      </xdr:nvSpPr>
      <xdr:spPr>
        <a:xfrm>
          <a:off x="12502243" y="1083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70</xdr:row>
      <xdr:rowOff>76200</xdr:rowOff>
    </xdr:from>
    <xdr:to>
      <xdr:col>32</xdr:col>
      <xdr:colOff>20683</xdr:colOff>
      <xdr:row>70</xdr:row>
      <xdr:rowOff>76200</xdr:rowOff>
    </xdr:to>
    <xdr:cxnSp macro="">
      <xdr:nvCxnSpPr>
        <xdr:cNvPr id="29113" name="직선 화살표 연결선 29112"/>
        <xdr:cNvCxnSpPr/>
      </xdr:nvCxnSpPr>
      <xdr:spPr>
        <a:xfrm>
          <a:off x="12502243"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69</xdr:row>
      <xdr:rowOff>19050</xdr:rowOff>
    </xdr:from>
    <xdr:to>
      <xdr:col>33</xdr:col>
      <xdr:colOff>0</xdr:colOff>
      <xdr:row>69</xdr:row>
      <xdr:rowOff>133350</xdr:rowOff>
    </xdr:to>
    <xdr:sp macro="" textlink="">
      <xdr:nvSpPr>
        <xdr:cNvPr id="29114" name="직사각형 29113"/>
        <xdr:cNvSpPr/>
      </xdr:nvSpPr>
      <xdr:spPr>
        <a:xfrm>
          <a:off x="12605657" y="10679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69</xdr:row>
      <xdr:rowOff>76200</xdr:rowOff>
    </xdr:from>
    <xdr:to>
      <xdr:col>32</xdr:col>
      <xdr:colOff>124097</xdr:colOff>
      <xdr:row>69</xdr:row>
      <xdr:rowOff>76200</xdr:rowOff>
    </xdr:to>
    <xdr:cxnSp macro="">
      <xdr:nvCxnSpPr>
        <xdr:cNvPr id="29115" name="직선 화살표 연결선 29114"/>
        <xdr:cNvCxnSpPr/>
      </xdr:nvCxnSpPr>
      <xdr:spPr>
        <a:xfrm>
          <a:off x="12605657"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68</xdr:row>
      <xdr:rowOff>19050</xdr:rowOff>
    </xdr:from>
    <xdr:to>
      <xdr:col>33</xdr:col>
      <xdr:colOff>20683</xdr:colOff>
      <xdr:row>68</xdr:row>
      <xdr:rowOff>133350</xdr:rowOff>
    </xdr:to>
    <xdr:sp macro="" textlink="">
      <xdr:nvSpPr>
        <xdr:cNvPr id="29116" name="직사각형 29115"/>
        <xdr:cNvSpPr/>
      </xdr:nvSpPr>
      <xdr:spPr>
        <a:xfrm>
          <a:off x="12605657" y="10527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68</xdr:row>
      <xdr:rowOff>76200</xdr:rowOff>
    </xdr:from>
    <xdr:to>
      <xdr:col>32</xdr:col>
      <xdr:colOff>124097</xdr:colOff>
      <xdr:row>68</xdr:row>
      <xdr:rowOff>76200</xdr:rowOff>
    </xdr:to>
    <xdr:cxnSp macro="">
      <xdr:nvCxnSpPr>
        <xdr:cNvPr id="29117" name="직선 화살표 연결선 29116"/>
        <xdr:cNvCxnSpPr/>
      </xdr:nvCxnSpPr>
      <xdr:spPr>
        <a:xfrm>
          <a:off x="12605657"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67</xdr:row>
      <xdr:rowOff>19050</xdr:rowOff>
    </xdr:from>
    <xdr:to>
      <xdr:col>33</xdr:col>
      <xdr:colOff>20683</xdr:colOff>
      <xdr:row>67</xdr:row>
      <xdr:rowOff>133350</xdr:rowOff>
    </xdr:to>
    <xdr:sp macro="" textlink="">
      <xdr:nvSpPr>
        <xdr:cNvPr id="29118" name="직사각형 29117"/>
        <xdr:cNvSpPr/>
      </xdr:nvSpPr>
      <xdr:spPr>
        <a:xfrm>
          <a:off x="12605657" y="10374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67</xdr:row>
      <xdr:rowOff>76200</xdr:rowOff>
    </xdr:from>
    <xdr:to>
      <xdr:col>32</xdr:col>
      <xdr:colOff>124097</xdr:colOff>
      <xdr:row>67</xdr:row>
      <xdr:rowOff>76200</xdr:rowOff>
    </xdr:to>
    <xdr:cxnSp macro="">
      <xdr:nvCxnSpPr>
        <xdr:cNvPr id="29119" name="직선 화살표 연결선 29118"/>
        <xdr:cNvCxnSpPr/>
      </xdr:nvCxnSpPr>
      <xdr:spPr>
        <a:xfrm>
          <a:off x="12605657"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66</xdr:row>
      <xdr:rowOff>19050</xdr:rowOff>
    </xdr:from>
    <xdr:to>
      <xdr:col>32</xdr:col>
      <xdr:colOff>103414</xdr:colOff>
      <xdr:row>66</xdr:row>
      <xdr:rowOff>133350</xdr:rowOff>
    </xdr:to>
    <xdr:sp macro="" textlink="">
      <xdr:nvSpPr>
        <xdr:cNvPr id="29120" name="직사각형 29119"/>
        <xdr:cNvSpPr/>
      </xdr:nvSpPr>
      <xdr:spPr>
        <a:xfrm>
          <a:off x="12564291" y="1022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66</xdr:row>
      <xdr:rowOff>76200</xdr:rowOff>
    </xdr:from>
    <xdr:to>
      <xdr:col>32</xdr:col>
      <xdr:colOff>82731</xdr:colOff>
      <xdr:row>66</xdr:row>
      <xdr:rowOff>76200</xdr:rowOff>
    </xdr:to>
    <xdr:cxnSp macro="">
      <xdr:nvCxnSpPr>
        <xdr:cNvPr id="29121" name="직선 화살표 연결선 29120"/>
        <xdr:cNvCxnSpPr/>
      </xdr:nvCxnSpPr>
      <xdr:spPr>
        <a:xfrm>
          <a:off x="12564291"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65</xdr:row>
      <xdr:rowOff>19050</xdr:rowOff>
    </xdr:from>
    <xdr:to>
      <xdr:col>32</xdr:col>
      <xdr:colOff>82731</xdr:colOff>
      <xdr:row>65</xdr:row>
      <xdr:rowOff>133350</xdr:rowOff>
    </xdr:to>
    <xdr:sp macro="" textlink="">
      <xdr:nvSpPr>
        <xdr:cNvPr id="29122" name="직사각형 29121"/>
        <xdr:cNvSpPr/>
      </xdr:nvSpPr>
      <xdr:spPr>
        <a:xfrm>
          <a:off x="12543609" y="1006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65</xdr:row>
      <xdr:rowOff>76200</xdr:rowOff>
    </xdr:from>
    <xdr:to>
      <xdr:col>32</xdr:col>
      <xdr:colOff>62049</xdr:colOff>
      <xdr:row>65</xdr:row>
      <xdr:rowOff>76200</xdr:rowOff>
    </xdr:to>
    <xdr:cxnSp macro="">
      <xdr:nvCxnSpPr>
        <xdr:cNvPr id="29123" name="직선 화살표 연결선 29122"/>
        <xdr:cNvCxnSpPr/>
      </xdr:nvCxnSpPr>
      <xdr:spPr>
        <a:xfrm>
          <a:off x="12543609"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64</xdr:row>
      <xdr:rowOff>19050</xdr:rowOff>
    </xdr:from>
    <xdr:to>
      <xdr:col>32</xdr:col>
      <xdr:colOff>124097</xdr:colOff>
      <xdr:row>64</xdr:row>
      <xdr:rowOff>133350</xdr:rowOff>
    </xdr:to>
    <xdr:sp macro="" textlink="">
      <xdr:nvSpPr>
        <xdr:cNvPr id="29124" name="직사각형 29123"/>
        <xdr:cNvSpPr/>
      </xdr:nvSpPr>
      <xdr:spPr>
        <a:xfrm>
          <a:off x="12543609" y="9917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64</xdr:row>
      <xdr:rowOff>76200</xdr:rowOff>
    </xdr:from>
    <xdr:to>
      <xdr:col>32</xdr:col>
      <xdr:colOff>62049</xdr:colOff>
      <xdr:row>64</xdr:row>
      <xdr:rowOff>76200</xdr:rowOff>
    </xdr:to>
    <xdr:cxnSp macro="">
      <xdr:nvCxnSpPr>
        <xdr:cNvPr id="29125" name="직선 화살표 연결선 29124"/>
        <xdr:cNvCxnSpPr/>
      </xdr:nvCxnSpPr>
      <xdr:spPr>
        <a:xfrm>
          <a:off x="12543609"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63</xdr:row>
      <xdr:rowOff>19050</xdr:rowOff>
    </xdr:from>
    <xdr:to>
      <xdr:col>32</xdr:col>
      <xdr:colOff>20683</xdr:colOff>
      <xdr:row>63</xdr:row>
      <xdr:rowOff>133350</xdr:rowOff>
    </xdr:to>
    <xdr:sp macro="" textlink="">
      <xdr:nvSpPr>
        <xdr:cNvPr id="29126" name="직사각형 29125"/>
        <xdr:cNvSpPr/>
      </xdr:nvSpPr>
      <xdr:spPr>
        <a:xfrm>
          <a:off x="12481560" y="976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63</xdr:row>
      <xdr:rowOff>76200</xdr:rowOff>
    </xdr:from>
    <xdr:to>
      <xdr:col>32</xdr:col>
      <xdr:colOff>0</xdr:colOff>
      <xdr:row>63</xdr:row>
      <xdr:rowOff>76200</xdr:rowOff>
    </xdr:to>
    <xdr:cxnSp macro="">
      <xdr:nvCxnSpPr>
        <xdr:cNvPr id="29127" name="직선 화살표 연결선 29126"/>
        <xdr:cNvCxnSpPr/>
      </xdr:nvCxnSpPr>
      <xdr:spPr>
        <a:xfrm>
          <a:off x="12481560"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62</xdr:row>
      <xdr:rowOff>19050</xdr:rowOff>
    </xdr:from>
    <xdr:to>
      <xdr:col>32</xdr:col>
      <xdr:colOff>124097</xdr:colOff>
      <xdr:row>62</xdr:row>
      <xdr:rowOff>133350</xdr:rowOff>
    </xdr:to>
    <xdr:sp macro="" textlink="">
      <xdr:nvSpPr>
        <xdr:cNvPr id="29128" name="직사각형 29127"/>
        <xdr:cNvSpPr/>
      </xdr:nvSpPr>
      <xdr:spPr>
        <a:xfrm>
          <a:off x="12522926" y="961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62</xdr:row>
      <xdr:rowOff>76200</xdr:rowOff>
    </xdr:from>
    <xdr:to>
      <xdr:col>32</xdr:col>
      <xdr:colOff>41366</xdr:colOff>
      <xdr:row>62</xdr:row>
      <xdr:rowOff>76200</xdr:rowOff>
    </xdr:to>
    <xdr:cxnSp macro="">
      <xdr:nvCxnSpPr>
        <xdr:cNvPr id="29129" name="직선 화살표 연결선 29128"/>
        <xdr:cNvCxnSpPr/>
      </xdr:nvCxnSpPr>
      <xdr:spPr>
        <a:xfrm>
          <a:off x="12522926" y="966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61</xdr:row>
      <xdr:rowOff>19050</xdr:rowOff>
    </xdr:from>
    <xdr:to>
      <xdr:col>32</xdr:col>
      <xdr:colOff>20683</xdr:colOff>
      <xdr:row>61</xdr:row>
      <xdr:rowOff>133350</xdr:rowOff>
    </xdr:to>
    <xdr:sp macro="" textlink="">
      <xdr:nvSpPr>
        <xdr:cNvPr id="29130" name="직사각형 29129"/>
        <xdr:cNvSpPr/>
      </xdr:nvSpPr>
      <xdr:spPr>
        <a:xfrm>
          <a:off x="12481560" y="9460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61</xdr:row>
      <xdr:rowOff>76200</xdr:rowOff>
    </xdr:from>
    <xdr:to>
      <xdr:col>32</xdr:col>
      <xdr:colOff>0</xdr:colOff>
      <xdr:row>61</xdr:row>
      <xdr:rowOff>76200</xdr:rowOff>
    </xdr:to>
    <xdr:cxnSp macro="">
      <xdr:nvCxnSpPr>
        <xdr:cNvPr id="29131" name="직선 화살표 연결선 29130"/>
        <xdr:cNvCxnSpPr/>
      </xdr:nvCxnSpPr>
      <xdr:spPr>
        <a:xfrm>
          <a:off x="12481560"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60</xdr:row>
      <xdr:rowOff>19050</xdr:rowOff>
    </xdr:from>
    <xdr:to>
      <xdr:col>32</xdr:col>
      <xdr:colOff>0</xdr:colOff>
      <xdr:row>60</xdr:row>
      <xdr:rowOff>133350</xdr:rowOff>
    </xdr:to>
    <xdr:sp macro="" textlink="">
      <xdr:nvSpPr>
        <xdr:cNvPr id="29132" name="직사각형 29131"/>
        <xdr:cNvSpPr/>
      </xdr:nvSpPr>
      <xdr:spPr>
        <a:xfrm>
          <a:off x="12460877" y="930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60</xdr:row>
      <xdr:rowOff>76200</xdr:rowOff>
    </xdr:from>
    <xdr:to>
      <xdr:col>31</xdr:col>
      <xdr:colOff>124097</xdr:colOff>
      <xdr:row>60</xdr:row>
      <xdr:rowOff>76200</xdr:rowOff>
    </xdr:to>
    <xdr:cxnSp macro="">
      <xdr:nvCxnSpPr>
        <xdr:cNvPr id="29133" name="직선 화살표 연결선 29132"/>
        <xdr:cNvCxnSpPr/>
      </xdr:nvCxnSpPr>
      <xdr:spPr>
        <a:xfrm>
          <a:off x="12460877"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59</xdr:row>
      <xdr:rowOff>19050</xdr:rowOff>
    </xdr:from>
    <xdr:to>
      <xdr:col>31</xdr:col>
      <xdr:colOff>124097</xdr:colOff>
      <xdr:row>59</xdr:row>
      <xdr:rowOff>133350</xdr:rowOff>
    </xdr:to>
    <xdr:sp macro="" textlink="">
      <xdr:nvSpPr>
        <xdr:cNvPr id="29134" name="직사각형 29133"/>
        <xdr:cNvSpPr/>
      </xdr:nvSpPr>
      <xdr:spPr>
        <a:xfrm>
          <a:off x="12440194" y="915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59</xdr:row>
      <xdr:rowOff>76200</xdr:rowOff>
    </xdr:from>
    <xdr:to>
      <xdr:col>31</xdr:col>
      <xdr:colOff>103414</xdr:colOff>
      <xdr:row>59</xdr:row>
      <xdr:rowOff>76200</xdr:rowOff>
    </xdr:to>
    <xdr:cxnSp macro="">
      <xdr:nvCxnSpPr>
        <xdr:cNvPr id="29135" name="직선 화살표 연결선 29134"/>
        <xdr:cNvCxnSpPr/>
      </xdr:nvCxnSpPr>
      <xdr:spPr>
        <a:xfrm>
          <a:off x="12440194"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58</xdr:row>
      <xdr:rowOff>19050</xdr:rowOff>
    </xdr:from>
    <xdr:to>
      <xdr:col>35</xdr:col>
      <xdr:colOff>20683</xdr:colOff>
      <xdr:row>58</xdr:row>
      <xdr:rowOff>133350</xdr:rowOff>
    </xdr:to>
    <xdr:sp macro="" textlink="">
      <xdr:nvSpPr>
        <xdr:cNvPr id="29136" name="직사각형 29135"/>
        <xdr:cNvSpPr/>
      </xdr:nvSpPr>
      <xdr:spPr>
        <a:xfrm>
          <a:off x="12440194" y="9003030"/>
          <a:ext cx="496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58</xdr:row>
      <xdr:rowOff>76200</xdr:rowOff>
    </xdr:from>
    <xdr:to>
      <xdr:col>31</xdr:col>
      <xdr:colOff>103414</xdr:colOff>
      <xdr:row>58</xdr:row>
      <xdr:rowOff>76200</xdr:rowOff>
    </xdr:to>
    <xdr:cxnSp macro="">
      <xdr:nvCxnSpPr>
        <xdr:cNvPr id="29137" name="직선 화살표 연결선 29136"/>
        <xdr:cNvCxnSpPr/>
      </xdr:nvCxnSpPr>
      <xdr:spPr>
        <a:xfrm>
          <a:off x="12440194"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57</xdr:row>
      <xdr:rowOff>19050</xdr:rowOff>
    </xdr:from>
    <xdr:to>
      <xdr:col>32</xdr:col>
      <xdr:colOff>124097</xdr:colOff>
      <xdr:row>57</xdr:row>
      <xdr:rowOff>133350</xdr:rowOff>
    </xdr:to>
    <xdr:sp macro="" textlink="">
      <xdr:nvSpPr>
        <xdr:cNvPr id="29138" name="직사각형 29137"/>
        <xdr:cNvSpPr/>
      </xdr:nvSpPr>
      <xdr:spPr>
        <a:xfrm>
          <a:off x="12543609" y="8850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57</xdr:row>
      <xdr:rowOff>76200</xdr:rowOff>
    </xdr:from>
    <xdr:to>
      <xdr:col>32</xdr:col>
      <xdr:colOff>62049</xdr:colOff>
      <xdr:row>57</xdr:row>
      <xdr:rowOff>76200</xdr:rowOff>
    </xdr:to>
    <xdr:cxnSp macro="">
      <xdr:nvCxnSpPr>
        <xdr:cNvPr id="29139" name="직선 화살표 연결선 29138"/>
        <xdr:cNvCxnSpPr/>
      </xdr:nvCxnSpPr>
      <xdr:spPr>
        <a:xfrm>
          <a:off x="12543609"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56</xdr:row>
      <xdr:rowOff>19050</xdr:rowOff>
    </xdr:from>
    <xdr:to>
      <xdr:col>31</xdr:col>
      <xdr:colOff>124097</xdr:colOff>
      <xdr:row>56</xdr:row>
      <xdr:rowOff>133350</xdr:rowOff>
    </xdr:to>
    <xdr:sp macro="" textlink="">
      <xdr:nvSpPr>
        <xdr:cNvPr id="29140" name="직사각형 29139"/>
        <xdr:cNvSpPr/>
      </xdr:nvSpPr>
      <xdr:spPr>
        <a:xfrm>
          <a:off x="12440194" y="869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56</xdr:row>
      <xdr:rowOff>76200</xdr:rowOff>
    </xdr:from>
    <xdr:to>
      <xdr:col>31</xdr:col>
      <xdr:colOff>103414</xdr:colOff>
      <xdr:row>56</xdr:row>
      <xdr:rowOff>76200</xdr:rowOff>
    </xdr:to>
    <xdr:cxnSp macro="">
      <xdr:nvCxnSpPr>
        <xdr:cNvPr id="29141" name="직선 화살표 연결선 29140"/>
        <xdr:cNvCxnSpPr/>
      </xdr:nvCxnSpPr>
      <xdr:spPr>
        <a:xfrm>
          <a:off x="12440194"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55</xdr:row>
      <xdr:rowOff>19050</xdr:rowOff>
    </xdr:from>
    <xdr:to>
      <xdr:col>32</xdr:col>
      <xdr:colOff>82731</xdr:colOff>
      <xdr:row>55</xdr:row>
      <xdr:rowOff>133350</xdr:rowOff>
    </xdr:to>
    <xdr:sp macro="" textlink="">
      <xdr:nvSpPr>
        <xdr:cNvPr id="29142" name="직사각형 29141"/>
        <xdr:cNvSpPr/>
      </xdr:nvSpPr>
      <xdr:spPr>
        <a:xfrm>
          <a:off x="12522926" y="8545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55</xdr:row>
      <xdr:rowOff>76200</xdr:rowOff>
    </xdr:from>
    <xdr:to>
      <xdr:col>32</xdr:col>
      <xdr:colOff>41366</xdr:colOff>
      <xdr:row>55</xdr:row>
      <xdr:rowOff>76200</xdr:rowOff>
    </xdr:to>
    <xdr:cxnSp macro="">
      <xdr:nvCxnSpPr>
        <xdr:cNvPr id="29143" name="직선 화살표 연결선 29142"/>
        <xdr:cNvCxnSpPr/>
      </xdr:nvCxnSpPr>
      <xdr:spPr>
        <a:xfrm>
          <a:off x="12522926"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54</xdr:row>
      <xdr:rowOff>19050</xdr:rowOff>
    </xdr:from>
    <xdr:to>
      <xdr:col>32</xdr:col>
      <xdr:colOff>62049</xdr:colOff>
      <xdr:row>54</xdr:row>
      <xdr:rowOff>133350</xdr:rowOff>
    </xdr:to>
    <xdr:sp macro="" textlink="">
      <xdr:nvSpPr>
        <xdr:cNvPr id="29144" name="직사각형 29143"/>
        <xdr:cNvSpPr/>
      </xdr:nvSpPr>
      <xdr:spPr>
        <a:xfrm>
          <a:off x="12502243" y="8393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54</xdr:row>
      <xdr:rowOff>76200</xdr:rowOff>
    </xdr:from>
    <xdr:to>
      <xdr:col>32</xdr:col>
      <xdr:colOff>20683</xdr:colOff>
      <xdr:row>54</xdr:row>
      <xdr:rowOff>76200</xdr:rowOff>
    </xdr:to>
    <xdr:cxnSp macro="">
      <xdr:nvCxnSpPr>
        <xdr:cNvPr id="29145" name="직선 화살표 연결선 29144"/>
        <xdr:cNvCxnSpPr/>
      </xdr:nvCxnSpPr>
      <xdr:spPr>
        <a:xfrm>
          <a:off x="12502243"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53</xdr:row>
      <xdr:rowOff>19050</xdr:rowOff>
    </xdr:from>
    <xdr:to>
      <xdr:col>32</xdr:col>
      <xdr:colOff>82731</xdr:colOff>
      <xdr:row>53</xdr:row>
      <xdr:rowOff>133350</xdr:rowOff>
    </xdr:to>
    <xdr:sp macro="" textlink="">
      <xdr:nvSpPr>
        <xdr:cNvPr id="29146" name="직사각형 29145"/>
        <xdr:cNvSpPr/>
      </xdr:nvSpPr>
      <xdr:spPr>
        <a:xfrm>
          <a:off x="12502243" y="824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53</xdr:row>
      <xdr:rowOff>76200</xdr:rowOff>
    </xdr:from>
    <xdr:to>
      <xdr:col>32</xdr:col>
      <xdr:colOff>20683</xdr:colOff>
      <xdr:row>53</xdr:row>
      <xdr:rowOff>76200</xdr:rowOff>
    </xdr:to>
    <xdr:cxnSp macro="">
      <xdr:nvCxnSpPr>
        <xdr:cNvPr id="29147" name="직선 화살표 연결선 29146"/>
        <xdr:cNvCxnSpPr/>
      </xdr:nvCxnSpPr>
      <xdr:spPr>
        <a:xfrm>
          <a:off x="12502243"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52</xdr:row>
      <xdr:rowOff>19050</xdr:rowOff>
    </xdr:from>
    <xdr:to>
      <xdr:col>31</xdr:col>
      <xdr:colOff>103414</xdr:colOff>
      <xdr:row>52</xdr:row>
      <xdr:rowOff>133350</xdr:rowOff>
    </xdr:to>
    <xdr:sp macro="" textlink="">
      <xdr:nvSpPr>
        <xdr:cNvPr id="29148" name="직사각형 29147"/>
        <xdr:cNvSpPr/>
      </xdr:nvSpPr>
      <xdr:spPr>
        <a:xfrm>
          <a:off x="12419512" y="808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52</xdr:row>
      <xdr:rowOff>76200</xdr:rowOff>
    </xdr:from>
    <xdr:to>
      <xdr:col>31</xdr:col>
      <xdr:colOff>103414</xdr:colOff>
      <xdr:row>52</xdr:row>
      <xdr:rowOff>76200</xdr:rowOff>
    </xdr:to>
    <xdr:cxnSp macro="">
      <xdr:nvCxnSpPr>
        <xdr:cNvPr id="29149" name="직선 화살표 연결선 29148"/>
        <xdr:cNvCxnSpPr/>
      </xdr:nvCxnSpPr>
      <xdr:spPr>
        <a:xfrm>
          <a:off x="12419512" y="81457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51</xdr:row>
      <xdr:rowOff>19050</xdr:rowOff>
    </xdr:from>
    <xdr:to>
      <xdr:col>31</xdr:col>
      <xdr:colOff>103414</xdr:colOff>
      <xdr:row>51</xdr:row>
      <xdr:rowOff>133350</xdr:rowOff>
    </xdr:to>
    <xdr:sp macro="" textlink="">
      <xdr:nvSpPr>
        <xdr:cNvPr id="29150" name="직사각형 29149"/>
        <xdr:cNvSpPr/>
      </xdr:nvSpPr>
      <xdr:spPr>
        <a:xfrm>
          <a:off x="12419512" y="7936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51</xdr:row>
      <xdr:rowOff>76200</xdr:rowOff>
    </xdr:from>
    <xdr:to>
      <xdr:col>31</xdr:col>
      <xdr:colOff>103414</xdr:colOff>
      <xdr:row>51</xdr:row>
      <xdr:rowOff>76200</xdr:rowOff>
    </xdr:to>
    <xdr:cxnSp macro="">
      <xdr:nvCxnSpPr>
        <xdr:cNvPr id="29151" name="직선 화살표 연결선 29150"/>
        <xdr:cNvCxnSpPr/>
      </xdr:nvCxnSpPr>
      <xdr:spPr>
        <a:xfrm>
          <a:off x="12419512" y="7993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50</xdr:row>
      <xdr:rowOff>19050</xdr:rowOff>
    </xdr:from>
    <xdr:to>
      <xdr:col>32</xdr:col>
      <xdr:colOff>0</xdr:colOff>
      <xdr:row>50</xdr:row>
      <xdr:rowOff>133350</xdr:rowOff>
    </xdr:to>
    <xdr:sp macro="" textlink="">
      <xdr:nvSpPr>
        <xdr:cNvPr id="29152" name="직사각형 29151"/>
        <xdr:cNvSpPr/>
      </xdr:nvSpPr>
      <xdr:spPr>
        <a:xfrm>
          <a:off x="12419512" y="7783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50</xdr:row>
      <xdr:rowOff>76200</xdr:rowOff>
    </xdr:from>
    <xdr:to>
      <xdr:col>31</xdr:col>
      <xdr:colOff>82732</xdr:colOff>
      <xdr:row>50</xdr:row>
      <xdr:rowOff>76200</xdr:rowOff>
    </xdr:to>
    <xdr:cxnSp macro="">
      <xdr:nvCxnSpPr>
        <xdr:cNvPr id="29153" name="직선 화살표 연결선 29152"/>
        <xdr:cNvCxnSpPr/>
      </xdr:nvCxnSpPr>
      <xdr:spPr>
        <a:xfrm>
          <a:off x="12419512"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49</xdr:row>
      <xdr:rowOff>19050</xdr:rowOff>
    </xdr:from>
    <xdr:to>
      <xdr:col>31</xdr:col>
      <xdr:colOff>103414</xdr:colOff>
      <xdr:row>49</xdr:row>
      <xdr:rowOff>133350</xdr:rowOff>
    </xdr:to>
    <xdr:sp macro="" textlink="">
      <xdr:nvSpPr>
        <xdr:cNvPr id="29154" name="직사각형 29153"/>
        <xdr:cNvSpPr/>
      </xdr:nvSpPr>
      <xdr:spPr>
        <a:xfrm>
          <a:off x="12419512" y="7631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49</xdr:row>
      <xdr:rowOff>76200</xdr:rowOff>
    </xdr:from>
    <xdr:to>
      <xdr:col>31</xdr:col>
      <xdr:colOff>103414</xdr:colOff>
      <xdr:row>49</xdr:row>
      <xdr:rowOff>76200</xdr:rowOff>
    </xdr:to>
    <xdr:cxnSp macro="">
      <xdr:nvCxnSpPr>
        <xdr:cNvPr id="29155" name="직선 화살표 연결선 29154"/>
        <xdr:cNvCxnSpPr/>
      </xdr:nvCxnSpPr>
      <xdr:spPr>
        <a:xfrm>
          <a:off x="12419512" y="76885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48</xdr:row>
      <xdr:rowOff>19050</xdr:rowOff>
    </xdr:from>
    <xdr:to>
      <xdr:col>32</xdr:col>
      <xdr:colOff>124097</xdr:colOff>
      <xdr:row>48</xdr:row>
      <xdr:rowOff>133350</xdr:rowOff>
    </xdr:to>
    <xdr:sp macro="" textlink="">
      <xdr:nvSpPr>
        <xdr:cNvPr id="29156" name="직사각형 29155"/>
        <xdr:cNvSpPr/>
      </xdr:nvSpPr>
      <xdr:spPr>
        <a:xfrm>
          <a:off x="12419512" y="747903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48</xdr:row>
      <xdr:rowOff>76200</xdr:rowOff>
    </xdr:from>
    <xdr:to>
      <xdr:col>31</xdr:col>
      <xdr:colOff>115581</xdr:colOff>
      <xdr:row>48</xdr:row>
      <xdr:rowOff>76200</xdr:rowOff>
    </xdr:to>
    <xdr:cxnSp macro="">
      <xdr:nvCxnSpPr>
        <xdr:cNvPr id="29157" name="직선 화살표 연결선 29156"/>
        <xdr:cNvCxnSpPr/>
      </xdr:nvCxnSpPr>
      <xdr:spPr>
        <a:xfrm>
          <a:off x="12419512" y="7536180"/>
          <a:ext cx="328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40</xdr:row>
      <xdr:rowOff>19050</xdr:rowOff>
    </xdr:from>
    <xdr:to>
      <xdr:col>35</xdr:col>
      <xdr:colOff>20683</xdr:colOff>
      <xdr:row>40</xdr:row>
      <xdr:rowOff>133350</xdr:rowOff>
    </xdr:to>
    <xdr:sp macro="" textlink="">
      <xdr:nvSpPr>
        <xdr:cNvPr id="29158" name="직사각형 29157"/>
        <xdr:cNvSpPr/>
      </xdr:nvSpPr>
      <xdr:spPr>
        <a:xfrm>
          <a:off x="12419512" y="6259830"/>
          <a:ext cx="5170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40</xdr:row>
      <xdr:rowOff>76200</xdr:rowOff>
    </xdr:from>
    <xdr:to>
      <xdr:col>31</xdr:col>
      <xdr:colOff>106597</xdr:colOff>
      <xdr:row>40</xdr:row>
      <xdr:rowOff>76200</xdr:rowOff>
    </xdr:to>
    <xdr:cxnSp macro="">
      <xdr:nvCxnSpPr>
        <xdr:cNvPr id="29159" name="직선 화살표 연결선 29158"/>
        <xdr:cNvCxnSpPr/>
      </xdr:nvCxnSpPr>
      <xdr:spPr>
        <a:xfrm>
          <a:off x="12419512" y="6316980"/>
          <a:ext cx="238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38</xdr:row>
      <xdr:rowOff>19050</xdr:rowOff>
    </xdr:from>
    <xdr:to>
      <xdr:col>33</xdr:col>
      <xdr:colOff>82732</xdr:colOff>
      <xdr:row>38</xdr:row>
      <xdr:rowOff>133350</xdr:rowOff>
    </xdr:to>
    <xdr:sp macro="" textlink="">
      <xdr:nvSpPr>
        <xdr:cNvPr id="29160" name="직사각형 29159"/>
        <xdr:cNvSpPr/>
      </xdr:nvSpPr>
      <xdr:spPr>
        <a:xfrm>
          <a:off x="12543609" y="5955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38</xdr:row>
      <xdr:rowOff>76200</xdr:rowOff>
    </xdr:from>
    <xdr:to>
      <xdr:col>32</xdr:col>
      <xdr:colOff>62049</xdr:colOff>
      <xdr:row>38</xdr:row>
      <xdr:rowOff>76200</xdr:rowOff>
    </xdr:to>
    <xdr:cxnSp macro="">
      <xdr:nvCxnSpPr>
        <xdr:cNvPr id="29161" name="직선 화살표 연결선 29160"/>
        <xdr:cNvCxnSpPr/>
      </xdr:nvCxnSpPr>
      <xdr:spPr>
        <a:xfrm>
          <a:off x="12543609"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37</xdr:row>
      <xdr:rowOff>19050</xdr:rowOff>
    </xdr:from>
    <xdr:to>
      <xdr:col>32</xdr:col>
      <xdr:colOff>82731</xdr:colOff>
      <xdr:row>37</xdr:row>
      <xdr:rowOff>133350</xdr:rowOff>
    </xdr:to>
    <xdr:sp macro="" textlink="">
      <xdr:nvSpPr>
        <xdr:cNvPr id="29162" name="직사각형 29161"/>
        <xdr:cNvSpPr/>
      </xdr:nvSpPr>
      <xdr:spPr>
        <a:xfrm>
          <a:off x="12502243" y="5802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37</xdr:row>
      <xdr:rowOff>76200</xdr:rowOff>
    </xdr:from>
    <xdr:to>
      <xdr:col>32</xdr:col>
      <xdr:colOff>20683</xdr:colOff>
      <xdr:row>37</xdr:row>
      <xdr:rowOff>76200</xdr:rowOff>
    </xdr:to>
    <xdr:cxnSp macro="">
      <xdr:nvCxnSpPr>
        <xdr:cNvPr id="29163" name="직선 화살표 연결선 29162"/>
        <xdr:cNvCxnSpPr/>
      </xdr:nvCxnSpPr>
      <xdr:spPr>
        <a:xfrm>
          <a:off x="1250224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36</xdr:row>
      <xdr:rowOff>19050</xdr:rowOff>
    </xdr:from>
    <xdr:to>
      <xdr:col>32</xdr:col>
      <xdr:colOff>0</xdr:colOff>
      <xdr:row>36</xdr:row>
      <xdr:rowOff>133350</xdr:rowOff>
    </xdr:to>
    <xdr:sp macro="" textlink="">
      <xdr:nvSpPr>
        <xdr:cNvPr id="29164" name="직사각형 29163"/>
        <xdr:cNvSpPr/>
      </xdr:nvSpPr>
      <xdr:spPr>
        <a:xfrm>
          <a:off x="12419512" y="5650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36</xdr:row>
      <xdr:rowOff>76200</xdr:rowOff>
    </xdr:from>
    <xdr:to>
      <xdr:col>31</xdr:col>
      <xdr:colOff>82732</xdr:colOff>
      <xdr:row>36</xdr:row>
      <xdr:rowOff>76200</xdr:rowOff>
    </xdr:to>
    <xdr:cxnSp macro="">
      <xdr:nvCxnSpPr>
        <xdr:cNvPr id="29165" name="직선 화살표 연결선 29164"/>
        <xdr:cNvCxnSpPr/>
      </xdr:nvCxnSpPr>
      <xdr:spPr>
        <a:xfrm>
          <a:off x="12419512"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35</xdr:row>
      <xdr:rowOff>19050</xdr:rowOff>
    </xdr:from>
    <xdr:to>
      <xdr:col>31</xdr:col>
      <xdr:colOff>124097</xdr:colOff>
      <xdr:row>35</xdr:row>
      <xdr:rowOff>133350</xdr:rowOff>
    </xdr:to>
    <xdr:sp macro="" textlink="">
      <xdr:nvSpPr>
        <xdr:cNvPr id="29166" name="직사각형 29165"/>
        <xdr:cNvSpPr/>
      </xdr:nvSpPr>
      <xdr:spPr>
        <a:xfrm>
          <a:off x="12398828" y="549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35</xdr:row>
      <xdr:rowOff>76200</xdr:rowOff>
    </xdr:from>
    <xdr:to>
      <xdr:col>31</xdr:col>
      <xdr:colOff>124097</xdr:colOff>
      <xdr:row>35</xdr:row>
      <xdr:rowOff>76200</xdr:rowOff>
    </xdr:to>
    <xdr:cxnSp macro="">
      <xdr:nvCxnSpPr>
        <xdr:cNvPr id="29167" name="직선 화살표 연결선 29166"/>
        <xdr:cNvCxnSpPr/>
      </xdr:nvCxnSpPr>
      <xdr:spPr>
        <a:xfrm>
          <a:off x="12398828" y="5554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34</xdr:row>
      <xdr:rowOff>19050</xdr:rowOff>
    </xdr:from>
    <xdr:to>
      <xdr:col>31</xdr:col>
      <xdr:colOff>82732</xdr:colOff>
      <xdr:row>34</xdr:row>
      <xdr:rowOff>133350</xdr:rowOff>
    </xdr:to>
    <xdr:sp macro="" textlink="">
      <xdr:nvSpPr>
        <xdr:cNvPr id="29168" name="직사각형 29167"/>
        <xdr:cNvSpPr/>
      </xdr:nvSpPr>
      <xdr:spPr>
        <a:xfrm>
          <a:off x="12378146" y="5345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34</xdr:row>
      <xdr:rowOff>76200</xdr:rowOff>
    </xdr:from>
    <xdr:to>
      <xdr:col>31</xdr:col>
      <xdr:colOff>82732</xdr:colOff>
      <xdr:row>34</xdr:row>
      <xdr:rowOff>76200</xdr:rowOff>
    </xdr:to>
    <xdr:cxnSp macro="">
      <xdr:nvCxnSpPr>
        <xdr:cNvPr id="29169" name="직선 화살표 연결선 29168"/>
        <xdr:cNvCxnSpPr/>
      </xdr:nvCxnSpPr>
      <xdr:spPr>
        <a:xfrm>
          <a:off x="12378146" y="5402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41366</xdr:colOff>
      <xdr:row>33</xdr:row>
      <xdr:rowOff>133350</xdr:rowOff>
    </xdr:to>
    <xdr:sp macro="" textlink="">
      <xdr:nvSpPr>
        <xdr:cNvPr id="29170" name="직사각형 29169"/>
        <xdr:cNvSpPr/>
      </xdr:nvSpPr>
      <xdr:spPr>
        <a:xfrm>
          <a:off x="12357463" y="519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41366</xdr:colOff>
      <xdr:row>33</xdr:row>
      <xdr:rowOff>76200</xdr:rowOff>
    </xdr:to>
    <xdr:cxnSp macro="">
      <xdr:nvCxnSpPr>
        <xdr:cNvPr id="29171" name="직선 화살표 연결선 29170"/>
        <xdr:cNvCxnSpPr/>
      </xdr:nvCxnSpPr>
      <xdr:spPr>
        <a:xfrm>
          <a:off x="12357463" y="525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33</xdr:col>
      <xdr:colOff>82732</xdr:colOff>
      <xdr:row>32</xdr:row>
      <xdr:rowOff>133350</xdr:rowOff>
    </xdr:to>
    <xdr:sp macro="" textlink="">
      <xdr:nvSpPr>
        <xdr:cNvPr id="29172" name="직사각형 29171"/>
        <xdr:cNvSpPr/>
      </xdr:nvSpPr>
      <xdr:spPr>
        <a:xfrm>
          <a:off x="12357463" y="5040630"/>
          <a:ext cx="351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31</xdr:col>
      <xdr:colOff>126165</xdr:colOff>
      <xdr:row>32</xdr:row>
      <xdr:rowOff>76200</xdr:rowOff>
    </xdr:to>
    <xdr:cxnSp macro="">
      <xdr:nvCxnSpPr>
        <xdr:cNvPr id="29173" name="직선 화살표 연결선 29172"/>
        <xdr:cNvCxnSpPr/>
      </xdr:nvCxnSpPr>
      <xdr:spPr>
        <a:xfrm>
          <a:off x="12357463" y="5097780"/>
          <a:ext cx="1054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31</xdr:row>
      <xdr:rowOff>19050</xdr:rowOff>
    </xdr:from>
    <xdr:to>
      <xdr:col>35</xdr:col>
      <xdr:colOff>20683</xdr:colOff>
      <xdr:row>31</xdr:row>
      <xdr:rowOff>133350</xdr:rowOff>
    </xdr:to>
    <xdr:sp macro="" textlink="">
      <xdr:nvSpPr>
        <xdr:cNvPr id="29174" name="직사각형 29173"/>
        <xdr:cNvSpPr/>
      </xdr:nvSpPr>
      <xdr:spPr>
        <a:xfrm>
          <a:off x="12357463" y="488823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31</xdr:row>
      <xdr:rowOff>76200</xdr:rowOff>
    </xdr:from>
    <xdr:to>
      <xdr:col>31</xdr:col>
      <xdr:colOff>81288</xdr:colOff>
      <xdr:row>31</xdr:row>
      <xdr:rowOff>76200</xdr:rowOff>
    </xdr:to>
    <xdr:cxnSp macro="">
      <xdr:nvCxnSpPr>
        <xdr:cNvPr id="29175" name="직선 화살표 연결선 29174"/>
        <xdr:cNvCxnSpPr/>
      </xdr:nvCxnSpPr>
      <xdr:spPr>
        <a:xfrm>
          <a:off x="12357463" y="4945380"/>
          <a:ext cx="60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30</xdr:row>
      <xdr:rowOff>19050</xdr:rowOff>
    </xdr:from>
    <xdr:to>
      <xdr:col>35</xdr:col>
      <xdr:colOff>20683</xdr:colOff>
      <xdr:row>30</xdr:row>
      <xdr:rowOff>133350</xdr:rowOff>
    </xdr:to>
    <xdr:sp macro="" textlink="">
      <xdr:nvSpPr>
        <xdr:cNvPr id="29176" name="직사각형 29175"/>
        <xdr:cNvSpPr/>
      </xdr:nvSpPr>
      <xdr:spPr>
        <a:xfrm>
          <a:off x="12357463" y="473583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30</xdr:row>
      <xdr:rowOff>76200</xdr:rowOff>
    </xdr:from>
    <xdr:to>
      <xdr:col>31</xdr:col>
      <xdr:colOff>81288</xdr:colOff>
      <xdr:row>30</xdr:row>
      <xdr:rowOff>76200</xdr:rowOff>
    </xdr:to>
    <xdr:cxnSp macro="">
      <xdr:nvCxnSpPr>
        <xdr:cNvPr id="29177" name="직선 화살표 연결선 29176"/>
        <xdr:cNvCxnSpPr/>
      </xdr:nvCxnSpPr>
      <xdr:spPr>
        <a:xfrm>
          <a:off x="12357463" y="4792980"/>
          <a:ext cx="60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28</xdr:row>
      <xdr:rowOff>19050</xdr:rowOff>
    </xdr:from>
    <xdr:to>
      <xdr:col>31</xdr:col>
      <xdr:colOff>124097</xdr:colOff>
      <xdr:row>28</xdr:row>
      <xdr:rowOff>133350</xdr:rowOff>
    </xdr:to>
    <xdr:sp macro="" textlink="">
      <xdr:nvSpPr>
        <xdr:cNvPr id="29178" name="직사각형 29177"/>
        <xdr:cNvSpPr/>
      </xdr:nvSpPr>
      <xdr:spPr>
        <a:xfrm>
          <a:off x="12212683" y="4431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28</xdr:row>
      <xdr:rowOff>76200</xdr:rowOff>
    </xdr:from>
    <xdr:to>
      <xdr:col>31</xdr:col>
      <xdr:colOff>0</xdr:colOff>
      <xdr:row>28</xdr:row>
      <xdr:rowOff>76200</xdr:rowOff>
    </xdr:to>
    <xdr:cxnSp macro="">
      <xdr:nvCxnSpPr>
        <xdr:cNvPr id="29179" name="직선 화살표 연결선 29178"/>
        <xdr:cNvCxnSpPr/>
      </xdr:nvCxnSpPr>
      <xdr:spPr>
        <a:xfrm>
          <a:off x="12212683" y="4488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27</xdr:row>
      <xdr:rowOff>19050</xdr:rowOff>
    </xdr:from>
    <xdr:to>
      <xdr:col>31</xdr:col>
      <xdr:colOff>41366</xdr:colOff>
      <xdr:row>27</xdr:row>
      <xdr:rowOff>133350</xdr:rowOff>
    </xdr:to>
    <xdr:sp macro="" textlink="">
      <xdr:nvSpPr>
        <xdr:cNvPr id="29180" name="직사각형 29179"/>
        <xdr:cNvSpPr/>
      </xdr:nvSpPr>
      <xdr:spPr>
        <a:xfrm>
          <a:off x="12212683" y="4278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27</xdr:row>
      <xdr:rowOff>76200</xdr:rowOff>
    </xdr:from>
    <xdr:to>
      <xdr:col>30</xdr:col>
      <xdr:colOff>103415</xdr:colOff>
      <xdr:row>27</xdr:row>
      <xdr:rowOff>76200</xdr:rowOff>
    </xdr:to>
    <xdr:cxnSp macro="">
      <xdr:nvCxnSpPr>
        <xdr:cNvPr id="29181" name="직선 화살표 연결선 29180"/>
        <xdr:cNvCxnSpPr/>
      </xdr:nvCxnSpPr>
      <xdr:spPr>
        <a:xfrm>
          <a:off x="12212683" y="43357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26</xdr:row>
      <xdr:rowOff>19050</xdr:rowOff>
    </xdr:from>
    <xdr:to>
      <xdr:col>31</xdr:col>
      <xdr:colOff>124097</xdr:colOff>
      <xdr:row>26</xdr:row>
      <xdr:rowOff>133350</xdr:rowOff>
    </xdr:to>
    <xdr:sp macro="" textlink="">
      <xdr:nvSpPr>
        <xdr:cNvPr id="29182" name="직사각형 29181"/>
        <xdr:cNvSpPr/>
      </xdr:nvSpPr>
      <xdr:spPr>
        <a:xfrm>
          <a:off x="12212683" y="41262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26</xdr:row>
      <xdr:rowOff>76200</xdr:rowOff>
    </xdr:from>
    <xdr:to>
      <xdr:col>31</xdr:col>
      <xdr:colOff>0</xdr:colOff>
      <xdr:row>26</xdr:row>
      <xdr:rowOff>76200</xdr:rowOff>
    </xdr:to>
    <xdr:cxnSp macro="">
      <xdr:nvCxnSpPr>
        <xdr:cNvPr id="29183" name="직선 화살표 연결선 29182"/>
        <xdr:cNvCxnSpPr/>
      </xdr:nvCxnSpPr>
      <xdr:spPr>
        <a:xfrm>
          <a:off x="12212683" y="41833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25</xdr:row>
      <xdr:rowOff>19050</xdr:rowOff>
    </xdr:from>
    <xdr:to>
      <xdr:col>31</xdr:col>
      <xdr:colOff>103414</xdr:colOff>
      <xdr:row>25</xdr:row>
      <xdr:rowOff>133350</xdr:rowOff>
    </xdr:to>
    <xdr:sp macro="" textlink="">
      <xdr:nvSpPr>
        <xdr:cNvPr id="29184" name="직사각형 29183"/>
        <xdr:cNvSpPr/>
      </xdr:nvSpPr>
      <xdr:spPr>
        <a:xfrm>
          <a:off x="12254049" y="3973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25</xdr:row>
      <xdr:rowOff>76200</xdr:rowOff>
    </xdr:from>
    <xdr:to>
      <xdr:col>31</xdr:col>
      <xdr:colOff>10342</xdr:colOff>
      <xdr:row>25</xdr:row>
      <xdr:rowOff>76200</xdr:rowOff>
    </xdr:to>
    <xdr:cxnSp macro="">
      <xdr:nvCxnSpPr>
        <xdr:cNvPr id="29185" name="직선 화살표 연결선 29184"/>
        <xdr:cNvCxnSpPr/>
      </xdr:nvCxnSpPr>
      <xdr:spPr>
        <a:xfrm>
          <a:off x="12254049" y="403098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24</xdr:row>
      <xdr:rowOff>19050</xdr:rowOff>
    </xdr:from>
    <xdr:to>
      <xdr:col>31</xdr:col>
      <xdr:colOff>103414</xdr:colOff>
      <xdr:row>24</xdr:row>
      <xdr:rowOff>133350</xdr:rowOff>
    </xdr:to>
    <xdr:sp macro="" textlink="">
      <xdr:nvSpPr>
        <xdr:cNvPr id="29186" name="직사각형 29185"/>
        <xdr:cNvSpPr/>
      </xdr:nvSpPr>
      <xdr:spPr>
        <a:xfrm>
          <a:off x="12212683" y="38214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24</xdr:row>
      <xdr:rowOff>76200</xdr:rowOff>
    </xdr:from>
    <xdr:to>
      <xdr:col>31</xdr:col>
      <xdr:colOff>57912</xdr:colOff>
      <xdr:row>24</xdr:row>
      <xdr:rowOff>76200</xdr:rowOff>
    </xdr:to>
    <xdr:cxnSp macro="">
      <xdr:nvCxnSpPr>
        <xdr:cNvPr id="29187" name="직선 화살표 연결선 29186"/>
        <xdr:cNvCxnSpPr/>
      </xdr:nvCxnSpPr>
      <xdr:spPr>
        <a:xfrm>
          <a:off x="12212683" y="3878580"/>
          <a:ext cx="1820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124097</xdr:colOff>
      <xdr:row>23</xdr:row>
      <xdr:rowOff>133350</xdr:rowOff>
    </xdr:to>
    <xdr:sp macro="" textlink="">
      <xdr:nvSpPr>
        <xdr:cNvPr id="29188" name="직사각형 29187"/>
        <xdr:cNvSpPr/>
      </xdr:nvSpPr>
      <xdr:spPr>
        <a:xfrm>
          <a:off x="12212683" y="3669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74459</xdr:colOff>
      <xdr:row>23</xdr:row>
      <xdr:rowOff>76200</xdr:rowOff>
    </xdr:to>
    <xdr:cxnSp macro="">
      <xdr:nvCxnSpPr>
        <xdr:cNvPr id="29189" name="직선 화살표 연결선 29188"/>
        <xdr:cNvCxnSpPr/>
      </xdr:nvCxnSpPr>
      <xdr:spPr>
        <a:xfrm>
          <a:off x="12212683" y="3726180"/>
          <a:ext cx="1985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124097</xdr:colOff>
      <xdr:row>22</xdr:row>
      <xdr:rowOff>133350</xdr:rowOff>
    </xdr:to>
    <xdr:sp macro="" textlink="">
      <xdr:nvSpPr>
        <xdr:cNvPr id="29190" name="직사각형 29189"/>
        <xdr:cNvSpPr/>
      </xdr:nvSpPr>
      <xdr:spPr>
        <a:xfrm>
          <a:off x="12212683" y="35166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32934</xdr:colOff>
      <xdr:row>22</xdr:row>
      <xdr:rowOff>76200</xdr:rowOff>
    </xdr:to>
    <xdr:cxnSp macro="">
      <xdr:nvCxnSpPr>
        <xdr:cNvPr id="29191" name="직선 화살표 연결선 29190"/>
        <xdr:cNvCxnSpPr/>
      </xdr:nvCxnSpPr>
      <xdr:spPr>
        <a:xfrm>
          <a:off x="12212683" y="3573780"/>
          <a:ext cx="1570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21</xdr:row>
      <xdr:rowOff>19050</xdr:rowOff>
    </xdr:from>
    <xdr:to>
      <xdr:col>30</xdr:col>
      <xdr:colOff>124097</xdr:colOff>
      <xdr:row>21</xdr:row>
      <xdr:rowOff>133350</xdr:rowOff>
    </xdr:to>
    <xdr:sp macro="" textlink="">
      <xdr:nvSpPr>
        <xdr:cNvPr id="29192" name="직사각형 29191"/>
        <xdr:cNvSpPr/>
      </xdr:nvSpPr>
      <xdr:spPr>
        <a:xfrm>
          <a:off x="12067903" y="33642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21</xdr:row>
      <xdr:rowOff>76200</xdr:rowOff>
    </xdr:from>
    <xdr:to>
      <xdr:col>30</xdr:col>
      <xdr:colOff>0</xdr:colOff>
      <xdr:row>21</xdr:row>
      <xdr:rowOff>76200</xdr:rowOff>
    </xdr:to>
    <xdr:cxnSp macro="">
      <xdr:nvCxnSpPr>
        <xdr:cNvPr id="29193" name="직선 화살표 연결선 29192"/>
        <xdr:cNvCxnSpPr/>
      </xdr:nvCxnSpPr>
      <xdr:spPr>
        <a:xfrm>
          <a:off x="12067903" y="34213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20</xdr:row>
      <xdr:rowOff>19050</xdr:rowOff>
    </xdr:from>
    <xdr:to>
      <xdr:col>30</xdr:col>
      <xdr:colOff>124097</xdr:colOff>
      <xdr:row>20</xdr:row>
      <xdr:rowOff>133350</xdr:rowOff>
    </xdr:to>
    <xdr:sp macro="" textlink="">
      <xdr:nvSpPr>
        <xdr:cNvPr id="29194" name="직사각형 29193"/>
        <xdr:cNvSpPr/>
      </xdr:nvSpPr>
      <xdr:spPr>
        <a:xfrm>
          <a:off x="12067903" y="32118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20</xdr:row>
      <xdr:rowOff>76200</xdr:rowOff>
    </xdr:from>
    <xdr:to>
      <xdr:col>29</xdr:col>
      <xdr:colOff>119961</xdr:colOff>
      <xdr:row>20</xdr:row>
      <xdr:rowOff>76200</xdr:rowOff>
    </xdr:to>
    <xdr:cxnSp macro="">
      <xdr:nvCxnSpPr>
        <xdr:cNvPr id="29195" name="직선 화살표 연결선 29194"/>
        <xdr:cNvCxnSpPr/>
      </xdr:nvCxnSpPr>
      <xdr:spPr>
        <a:xfrm>
          <a:off x="12067903" y="3268980"/>
          <a:ext cx="992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19</xdr:row>
      <xdr:rowOff>19050</xdr:rowOff>
    </xdr:from>
    <xdr:to>
      <xdr:col>30</xdr:col>
      <xdr:colOff>124097</xdr:colOff>
      <xdr:row>19</xdr:row>
      <xdr:rowOff>133350</xdr:rowOff>
    </xdr:to>
    <xdr:sp macro="" textlink="">
      <xdr:nvSpPr>
        <xdr:cNvPr id="29196" name="직사각형 29195"/>
        <xdr:cNvSpPr/>
      </xdr:nvSpPr>
      <xdr:spPr>
        <a:xfrm>
          <a:off x="12067903" y="3059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19</xdr:row>
      <xdr:rowOff>76200</xdr:rowOff>
    </xdr:from>
    <xdr:to>
      <xdr:col>29</xdr:col>
      <xdr:colOff>132370</xdr:colOff>
      <xdr:row>19</xdr:row>
      <xdr:rowOff>76200</xdr:rowOff>
    </xdr:to>
    <xdr:cxnSp macro="">
      <xdr:nvCxnSpPr>
        <xdr:cNvPr id="29197" name="직선 화살표 연결선 29196"/>
        <xdr:cNvCxnSpPr/>
      </xdr:nvCxnSpPr>
      <xdr:spPr>
        <a:xfrm>
          <a:off x="12067903" y="3116580"/>
          <a:ext cx="1116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18</xdr:row>
      <xdr:rowOff>19050</xdr:rowOff>
    </xdr:from>
    <xdr:to>
      <xdr:col>31</xdr:col>
      <xdr:colOff>124097</xdr:colOff>
      <xdr:row>18</xdr:row>
      <xdr:rowOff>133350</xdr:rowOff>
    </xdr:to>
    <xdr:sp macro="" textlink="">
      <xdr:nvSpPr>
        <xdr:cNvPr id="29198" name="직사각형 29197"/>
        <xdr:cNvSpPr/>
      </xdr:nvSpPr>
      <xdr:spPr>
        <a:xfrm>
          <a:off x="12067903" y="2907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18</xdr:row>
      <xdr:rowOff>76200</xdr:rowOff>
    </xdr:from>
    <xdr:to>
      <xdr:col>29</xdr:col>
      <xdr:colOff>20683</xdr:colOff>
      <xdr:row>18</xdr:row>
      <xdr:rowOff>76200</xdr:rowOff>
    </xdr:to>
    <xdr:cxnSp macro="">
      <xdr:nvCxnSpPr>
        <xdr:cNvPr id="29199" name="직선 화살표 연결선 29198"/>
        <xdr:cNvCxnSpPr/>
      </xdr:nvCxnSpPr>
      <xdr:spPr>
        <a:xfrm>
          <a:off x="12067903"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29</xdr:col>
      <xdr:colOff>82731</xdr:colOff>
      <xdr:row>17</xdr:row>
      <xdr:rowOff>133350</xdr:rowOff>
    </xdr:to>
    <xdr:sp macro="" textlink="">
      <xdr:nvSpPr>
        <xdr:cNvPr id="29200" name="직사각형 29199"/>
        <xdr:cNvSpPr/>
      </xdr:nvSpPr>
      <xdr:spPr>
        <a:xfrm>
          <a:off x="12067903" y="275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29</xdr:col>
      <xdr:colOff>82731</xdr:colOff>
      <xdr:row>17</xdr:row>
      <xdr:rowOff>76200</xdr:rowOff>
    </xdr:to>
    <xdr:cxnSp macro="">
      <xdr:nvCxnSpPr>
        <xdr:cNvPr id="29201" name="직선 화살표 연결선 29200"/>
        <xdr:cNvCxnSpPr/>
      </xdr:nvCxnSpPr>
      <xdr:spPr>
        <a:xfrm>
          <a:off x="12067903" y="2811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16</xdr:row>
      <xdr:rowOff>19050</xdr:rowOff>
    </xdr:from>
    <xdr:to>
      <xdr:col>31</xdr:col>
      <xdr:colOff>124097</xdr:colOff>
      <xdr:row>16</xdr:row>
      <xdr:rowOff>133350</xdr:rowOff>
    </xdr:to>
    <xdr:sp macro="" textlink="">
      <xdr:nvSpPr>
        <xdr:cNvPr id="29202" name="직사각형 29201"/>
        <xdr:cNvSpPr/>
      </xdr:nvSpPr>
      <xdr:spPr>
        <a:xfrm>
          <a:off x="12067903" y="26022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16</xdr:row>
      <xdr:rowOff>76200</xdr:rowOff>
    </xdr:from>
    <xdr:to>
      <xdr:col>29</xdr:col>
      <xdr:colOff>138575</xdr:colOff>
      <xdr:row>16</xdr:row>
      <xdr:rowOff>76200</xdr:rowOff>
    </xdr:to>
    <xdr:cxnSp macro="">
      <xdr:nvCxnSpPr>
        <xdr:cNvPr id="29203" name="직선 화살표 연결선 29202"/>
        <xdr:cNvCxnSpPr/>
      </xdr:nvCxnSpPr>
      <xdr:spPr>
        <a:xfrm>
          <a:off x="12067903" y="2659380"/>
          <a:ext cx="1178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15</xdr:row>
      <xdr:rowOff>19050</xdr:rowOff>
    </xdr:from>
    <xdr:to>
      <xdr:col>35</xdr:col>
      <xdr:colOff>20683</xdr:colOff>
      <xdr:row>15</xdr:row>
      <xdr:rowOff>133350</xdr:rowOff>
    </xdr:to>
    <xdr:sp macro="" textlink="">
      <xdr:nvSpPr>
        <xdr:cNvPr id="29204" name="직사각형 29203"/>
        <xdr:cNvSpPr/>
      </xdr:nvSpPr>
      <xdr:spPr>
        <a:xfrm>
          <a:off x="12067903" y="2449830"/>
          <a:ext cx="868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15</xdr:row>
      <xdr:rowOff>76200</xdr:rowOff>
    </xdr:from>
    <xdr:to>
      <xdr:col>30</xdr:col>
      <xdr:colOff>138907</xdr:colOff>
      <xdr:row>15</xdr:row>
      <xdr:rowOff>76200</xdr:rowOff>
    </xdr:to>
    <xdr:cxnSp macro="">
      <xdr:nvCxnSpPr>
        <xdr:cNvPr id="29205" name="직선 화살표 연결선 29204"/>
        <xdr:cNvCxnSpPr/>
      </xdr:nvCxnSpPr>
      <xdr:spPr>
        <a:xfrm>
          <a:off x="12067903" y="2506980"/>
          <a:ext cx="2630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13</xdr:row>
      <xdr:rowOff>19050</xdr:rowOff>
    </xdr:from>
    <xdr:to>
      <xdr:col>46</xdr:col>
      <xdr:colOff>82732</xdr:colOff>
      <xdr:row>13</xdr:row>
      <xdr:rowOff>133350</xdr:rowOff>
    </xdr:to>
    <xdr:sp macro="" textlink="">
      <xdr:nvSpPr>
        <xdr:cNvPr id="29206" name="직사각형 29205"/>
        <xdr:cNvSpPr/>
      </xdr:nvSpPr>
      <xdr:spPr>
        <a:xfrm>
          <a:off x="14570529"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13</xdr:row>
      <xdr:rowOff>76200</xdr:rowOff>
    </xdr:from>
    <xdr:to>
      <xdr:col>46</xdr:col>
      <xdr:colOff>62049</xdr:colOff>
      <xdr:row>13</xdr:row>
      <xdr:rowOff>76200</xdr:rowOff>
    </xdr:to>
    <xdr:cxnSp macro="">
      <xdr:nvCxnSpPr>
        <xdr:cNvPr id="29207" name="직선 화살표 연결선 29206"/>
        <xdr:cNvCxnSpPr/>
      </xdr:nvCxnSpPr>
      <xdr:spPr>
        <a:xfrm>
          <a:off x="1457052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12</xdr:row>
      <xdr:rowOff>19050</xdr:rowOff>
    </xdr:from>
    <xdr:to>
      <xdr:col>46</xdr:col>
      <xdr:colOff>82732</xdr:colOff>
      <xdr:row>12</xdr:row>
      <xdr:rowOff>133350</xdr:rowOff>
    </xdr:to>
    <xdr:sp macro="" textlink="">
      <xdr:nvSpPr>
        <xdr:cNvPr id="29208" name="직사각형 29207"/>
        <xdr:cNvSpPr/>
      </xdr:nvSpPr>
      <xdr:spPr>
        <a:xfrm>
          <a:off x="14570529" y="199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12</xdr:row>
      <xdr:rowOff>76200</xdr:rowOff>
    </xdr:from>
    <xdr:to>
      <xdr:col>46</xdr:col>
      <xdr:colOff>62049</xdr:colOff>
      <xdr:row>12</xdr:row>
      <xdr:rowOff>76200</xdr:rowOff>
    </xdr:to>
    <xdr:cxnSp macro="">
      <xdr:nvCxnSpPr>
        <xdr:cNvPr id="29209" name="직선 화살표 연결선 29208"/>
        <xdr:cNvCxnSpPr/>
      </xdr:nvCxnSpPr>
      <xdr:spPr>
        <a:xfrm>
          <a:off x="14570529"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11</xdr:row>
      <xdr:rowOff>19050</xdr:rowOff>
    </xdr:from>
    <xdr:to>
      <xdr:col>46</xdr:col>
      <xdr:colOff>62049</xdr:colOff>
      <xdr:row>11</xdr:row>
      <xdr:rowOff>133350</xdr:rowOff>
    </xdr:to>
    <xdr:sp macro="" textlink="">
      <xdr:nvSpPr>
        <xdr:cNvPr id="29210" name="직사각형 29209"/>
        <xdr:cNvSpPr/>
      </xdr:nvSpPr>
      <xdr:spPr>
        <a:xfrm>
          <a:off x="14446431" y="1840230"/>
          <a:ext cx="124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11</xdr:row>
      <xdr:rowOff>76200</xdr:rowOff>
    </xdr:from>
    <xdr:to>
      <xdr:col>45</xdr:col>
      <xdr:colOff>82731</xdr:colOff>
      <xdr:row>11</xdr:row>
      <xdr:rowOff>76200</xdr:rowOff>
    </xdr:to>
    <xdr:cxnSp macro="">
      <xdr:nvCxnSpPr>
        <xdr:cNvPr id="29211" name="직선 화살표 연결선 29210"/>
        <xdr:cNvCxnSpPr/>
      </xdr:nvCxnSpPr>
      <xdr:spPr>
        <a:xfrm>
          <a:off x="14446431"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10</xdr:row>
      <xdr:rowOff>19050</xdr:rowOff>
    </xdr:from>
    <xdr:to>
      <xdr:col>46</xdr:col>
      <xdr:colOff>82732</xdr:colOff>
      <xdr:row>10</xdr:row>
      <xdr:rowOff>133350</xdr:rowOff>
    </xdr:to>
    <xdr:sp macro="" textlink="">
      <xdr:nvSpPr>
        <xdr:cNvPr id="29212" name="직사각형 29211"/>
        <xdr:cNvSpPr/>
      </xdr:nvSpPr>
      <xdr:spPr>
        <a:xfrm>
          <a:off x="14446431" y="16878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10</xdr:row>
      <xdr:rowOff>76200</xdr:rowOff>
    </xdr:from>
    <xdr:to>
      <xdr:col>45</xdr:col>
      <xdr:colOff>82731</xdr:colOff>
      <xdr:row>10</xdr:row>
      <xdr:rowOff>76200</xdr:rowOff>
    </xdr:to>
    <xdr:cxnSp macro="">
      <xdr:nvCxnSpPr>
        <xdr:cNvPr id="29213" name="직선 화살표 연결선 29212"/>
        <xdr:cNvCxnSpPr/>
      </xdr:nvCxnSpPr>
      <xdr:spPr>
        <a:xfrm>
          <a:off x="14446431"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xdr:row>
      <xdr:rowOff>19050</xdr:rowOff>
    </xdr:from>
    <xdr:to>
      <xdr:col>30</xdr:col>
      <xdr:colOff>124097</xdr:colOff>
      <xdr:row>8</xdr:row>
      <xdr:rowOff>133350</xdr:rowOff>
    </xdr:to>
    <xdr:sp macro="" textlink="">
      <xdr:nvSpPr>
        <xdr:cNvPr id="29214" name="직사각형 29213"/>
        <xdr:cNvSpPr/>
      </xdr:nvSpPr>
      <xdr:spPr>
        <a:xfrm>
          <a:off x="11923123" y="1383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xdr:row>
      <xdr:rowOff>76200</xdr:rowOff>
    </xdr:from>
    <xdr:to>
      <xdr:col>30</xdr:col>
      <xdr:colOff>124097</xdr:colOff>
      <xdr:row>8</xdr:row>
      <xdr:rowOff>76200</xdr:rowOff>
    </xdr:to>
    <xdr:cxnSp macro="">
      <xdr:nvCxnSpPr>
        <xdr:cNvPr id="29215" name="직선 화살표 연결선 29214"/>
        <xdr:cNvCxnSpPr/>
      </xdr:nvCxnSpPr>
      <xdr:spPr>
        <a:xfrm>
          <a:off x="11923123" y="14401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7</xdr:row>
      <xdr:rowOff>19050</xdr:rowOff>
    </xdr:from>
    <xdr:to>
      <xdr:col>30</xdr:col>
      <xdr:colOff>124097</xdr:colOff>
      <xdr:row>7</xdr:row>
      <xdr:rowOff>133350</xdr:rowOff>
    </xdr:to>
    <xdr:sp macro="" textlink="">
      <xdr:nvSpPr>
        <xdr:cNvPr id="29216" name="직사각형 29215"/>
        <xdr:cNvSpPr/>
      </xdr:nvSpPr>
      <xdr:spPr>
        <a:xfrm>
          <a:off x="11923123" y="12306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7</xdr:row>
      <xdr:rowOff>76200</xdr:rowOff>
    </xdr:from>
    <xdr:to>
      <xdr:col>30</xdr:col>
      <xdr:colOff>124097</xdr:colOff>
      <xdr:row>7</xdr:row>
      <xdr:rowOff>76200</xdr:rowOff>
    </xdr:to>
    <xdr:cxnSp macro="">
      <xdr:nvCxnSpPr>
        <xdr:cNvPr id="29217" name="직선 화살표 연결선 29216"/>
        <xdr:cNvCxnSpPr/>
      </xdr:nvCxnSpPr>
      <xdr:spPr>
        <a:xfrm>
          <a:off x="11923123" y="12877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29218" name="직사각형 29217"/>
        <xdr:cNvSpPr/>
      </xdr:nvSpPr>
      <xdr:spPr>
        <a:xfrm>
          <a:off x="1192312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29219" name="직선 화살표 연결선 29218"/>
        <xdr:cNvCxnSpPr/>
      </xdr:nvCxnSpPr>
      <xdr:spPr>
        <a:xfrm>
          <a:off x="1192312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124097</xdr:colOff>
      <xdr:row>5</xdr:row>
      <xdr:rowOff>133350</xdr:rowOff>
    </xdr:to>
    <xdr:sp macro="" textlink="">
      <xdr:nvSpPr>
        <xdr:cNvPr id="29220" name="직사각형 29219"/>
        <xdr:cNvSpPr/>
      </xdr:nvSpPr>
      <xdr:spPr>
        <a:xfrm>
          <a:off x="11923123" y="9258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124097</xdr:colOff>
      <xdr:row>5</xdr:row>
      <xdr:rowOff>76200</xdr:rowOff>
    </xdr:to>
    <xdr:cxnSp macro="">
      <xdr:nvCxnSpPr>
        <xdr:cNvPr id="29221" name="직선 화살표 연결선 29220"/>
        <xdr:cNvCxnSpPr/>
      </xdr:nvCxnSpPr>
      <xdr:spPr>
        <a:xfrm>
          <a:off x="11923123" y="9829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46</xdr:col>
      <xdr:colOff>82732</xdr:colOff>
      <xdr:row>4</xdr:row>
      <xdr:rowOff>133350</xdr:rowOff>
    </xdr:to>
    <xdr:sp macro="" textlink="">
      <xdr:nvSpPr>
        <xdr:cNvPr id="29222" name="직사각형 29221"/>
        <xdr:cNvSpPr/>
      </xdr:nvSpPr>
      <xdr:spPr>
        <a:xfrm>
          <a:off x="11923123" y="773430"/>
          <a:ext cx="26680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41</xdr:col>
      <xdr:colOff>16086</xdr:colOff>
      <xdr:row>4</xdr:row>
      <xdr:rowOff>76200</xdr:rowOff>
    </xdr:to>
    <xdr:cxnSp macro="">
      <xdr:nvCxnSpPr>
        <xdr:cNvPr id="29223" name="직선 화살표 연결선 29222"/>
        <xdr:cNvCxnSpPr/>
      </xdr:nvCxnSpPr>
      <xdr:spPr>
        <a:xfrm>
          <a:off x="11923123" y="830580"/>
          <a:ext cx="18775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1229</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1122</v>
      </c>
      <c r="D11" s="99" t="s">
        <v>26</v>
      </c>
      <c r="E11" s="108">
        <v>1</v>
      </c>
      <c r="F11" s="109" t="s">
        <v>27</v>
      </c>
      <c r="G11" s="110">
        <v>43514</v>
      </c>
      <c r="H11" s="109" t="s">
        <v>28</v>
      </c>
      <c r="I11" s="110">
        <v>43642</v>
      </c>
      <c r="J11" s="102" t="s">
        <v>418</v>
      </c>
      <c r="K11" s="102" t="s">
        <v>1230</v>
      </c>
      <c r="L11" s="102" t="s">
        <v>415</v>
      </c>
      <c r="M11" s="102">
        <v>1</v>
      </c>
      <c r="N11" s="107" t="s">
        <v>29</v>
      </c>
      <c r="O11" s="99">
        <v>0</v>
      </c>
      <c r="P11" s="99" t="s">
        <v>30</v>
      </c>
      <c r="Q11" s="107" t="s">
        <v>1115</v>
      </c>
      <c r="R11" s="102" t="s">
        <v>420</v>
      </c>
      <c r="S11" s="102">
        <v>1</v>
      </c>
      <c r="T11" s="102" t="s">
        <v>425</v>
      </c>
      <c r="U11" s="102">
        <v>1</v>
      </c>
      <c r="V11" s="102" t="s">
        <v>426</v>
      </c>
      <c r="W11" s="102">
        <v>0</v>
      </c>
      <c r="X11" s="102" t="s">
        <v>430</v>
      </c>
      <c r="Y11" s="102">
        <v>3</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1201</v>
      </c>
      <c r="F13" s="99" t="s">
        <v>33</v>
      </c>
      <c r="G13" s="109" t="s">
        <v>1202</v>
      </c>
      <c r="H13" s="109" t="s">
        <v>34</v>
      </c>
      <c r="I13" s="102" t="s">
        <v>1054</v>
      </c>
    </row>
    <row r="14" spans="1:64">
      <c r="A14" s="101" t="s">
        <v>403</v>
      </c>
      <c r="B14" s="108" t="s">
        <v>35</v>
      </c>
      <c r="C14" s="108" t="s">
        <v>1203</v>
      </c>
      <c r="D14" s="108" t="s">
        <v>36</v>
      </c>
      <c r="E14" s="108" t="s">
        <v>1204</v>
      </c>
      <c r="F14" s="108" t="s">
        <v>37</v>
      </c>
      <c r="G14" s="108" t="s">
        <v>1205</v>
      </c>
      <c r="H14" s="108" t="s">
        <v>38</v>
      </c>
      <c r="I14" s="108" t="b">
        <v>0</v>
      </c>
      <c r="J14" s="108" t="s">
        <v>39</v>
      </c>
      <c r="K14" s="108" t="s">
        <v>1206</v>
      </c>
      <c r="L14" s="108" t="s">
        <v>40</v>
      </c>
      <c r="M14" s="108" t="s">
        <v>1207</v>
      </c>
      <c r="N14" s="108" t="s">
        <v>41</v>
      </c>
      <c r="O14" s="108" t="s">
        <v>1205</v>
      </c>
      <c r="P14" s="108" t="s">
        <v>42</v>
      </c>
      <c r="Q14" s="108" t="b">
        <v>0</v>
      </c>
      <c r="R14" s="108" t="s">
        <v>43</v>
      </c>
      <c r="S14" s="108" t="s">
        <v>1208</v>
      </c>
      <c r="T14" s="108" t="s">
        <v>44</v>
      </c>
      <c r="U14" s="108" t="s">
        <v>1209</v>
      </c>
      <c r="V14" s="108" t="s">
        <v>45</v>
      </c>
      <c r="W14" s="108" t="s">
        <v>1205</v>
      </c>
      <c r="X14" s="108" t="s">
        <v>46</v>
      </c>
      <c r="Y14" s="108" t="b">
        <v>1</v>
      </c>
      <c r="Z14" s="108" t="s">
        <v>47</v>
      </c>
      <c r="AA14" s="108" t="s">
        <v>1210</v>
      </c>
      <c r="AB14" s="108" t="s">
        <v>48</v>
      </c>
      <c r="AC14" s="108" t="s">
        <v>1211</v>
      </c>
      <c r="AD14" s="108" t="s">
        <v>49</v>
      </c>
      <c r="AE14" s="108" t="s">
        <v>1212</v>
      </c>
      <c r="AF14" s="108" t="s">
        <v>50</v>
      </c>
      <c r="AG14" s="108" t="b">
        <v>1</v>
      </c>
      <c r="AH14" s="108" t="s">
        <v>51</v>
      </c>
      <c r="AI14" s="108" t="s">
        <v>1213</v>
      </c>
      <c r="AJ14" s="108" t="s">
        <v>52</v>
      </c>
      <c r="AK14" s="108" t="s">
        <v>1214</v>
      </c>
      <c r="AL14" s="108" t="s">
        <v>53</v>
      </c>
      <c r="AM14" s="108" t="s">
        <v>1215</v>
      </c>
      <c r="AN14" s="108" t="s">
        <v>54</v>
      </c>
      <c r="AO14" s="108" t="b">
        <v>0</v>
      </c>
      <c r="AP14" s="108" t="s">
        <v>55</v>
      </c>
      <c r="AQ14" s="108" t="s">
        <v>1216</v>
      </c>
      <c r="AR14" s="108" t="s">
        <v>56</v>
      </c>
      <c r="AS14" s="108" t="s">
        <v>1217</v>
      </c>
      <c r="AT14" s="108" t="s">
        <v>57</v>
      </c>
      <c r="AU14" s="108" t="s">
        <v>1218</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1220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1219</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1085</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1000</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994</v>
      </c>
      <c r="D2" s="95">
        <v>43375</v>
      </c>
      <c r="E2" s="96">
        <v>43376</v>
      </c>
      <c r="F2" s="95">
        <v>43375</v>
      </c>
      <c r="G2" s="95">
        <v>43379</v>
      </c>
      <c r="H2" s="92">
        <v>1</v>
      </c>
    </row>
    <row r="3" spans="1:8">
      <c r="A3" s="93" t="s">
        <v>449</v>
      </c>
      <c r="B3" s="94" t="s">
        <v>427</v>
      </c>
      <c r="C3" s="95" t="s">
        <v>994</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1051</v>
      </c>
      <c r="D5" s="95">
        <v>43379</v>
      </c>
      <c r="E5" s="96">
        <v>43385</v>
      </c>
      <c r="F5" s="95">
        <v>43375</v>
      </c>
      <c r="G5" s="95">
        <v>43379</v>
      </c>
      <c r="H5" s="92">
        <v>0</v>
      </c>
    </row>
    <row r="6" spans="1:8">
      <c r="A6" s="93" t="s">
        <v>449</v>
      </c>
      <c r="B6" s="94" t="s">
        <v>427</v>
      </c>
      <c r="C6" s="95" t="s">
        <v>994</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1051</v>
      </c>
      <c r="D8" s="95">
        <v>43379</v>
      </c>
      <c r="E8" s="96">
        <v>43385</v>
      </c>
      <c r="F8" s="95">
        <v>43380</v>
      </c>
      <c r="G8" s="95">
        <v>43386</v>
      </c>
      <c r="H8" s="92">
        <v>1.3333333333333333</v>
      </c>
    </row>
    <row r="9" spans="1:8">
      <c r="A9" s="93" t="s">
        <v>450</v>
      </c>
      <c r="B9" s="94" t="s">
        <v>438</v>
      </c>
      <c r="C9" s="95" t="s">
        <v>994</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1104</v>
      </c>
      <c r="D13" s="95">
        <v>43468</v>
      </c>
      <c r="E13" s="96">
        <v>43493</v>
      </c>
      <c r="F13" s="95">
        <v>43464</v>
      </c>
      <c r="G13" s="95">
        <v>43470</v>
      </c>
      <c r="H13" s="92">
        <v>2</v>
      </c>
    </row>
    <row r="14" spans="1:8">
      <c r="A14" s="93" t="s">
        <v>433</v>
      </c>
      <c r="B14" s="94" t="s">
        <v>441</v>
      </c>
      <c r="C14" s="95" t="s">
        <v>1104</v>
      </c>
      <c r="D14" s="95">
        <v>43468</v>
      </c>
      <c r="E14" s="96">
        <v>43493</v>
      </c>
      <c r="F14" s="95">
        <v>43471</v>
      </c>
      <c r="G14" s="95">
        <v>43477</v>
      </c>
      <c r="H14" s="92">
        <v>5</v>
      </c>
    </row>
    <row r="15" spans="1:8">
      <c r="A15" s="93" t="s">
        <v>433</v>
      </c>
      <c r="B15" s="94" t="s">
        <v>441</v>
      </c>
      <c r="C15" s="95" t="s">
        <v>1104</v>
      </c>
      <c r="D15" s="95">
        <v>43468</v>
      </c>
      <c r="E15" s="96">
        <v>43493</v>
      </c>
      <c r="F15" s="95">
        <v>43478</v>
      </c>
      <c r="G15" s="95">
        <v>43484</v>
      </c>
      <c r="H15" s="92">
        <v>5</v>
      </c>
    </row>
    <row r="16" spans="1:8">
      <c r="A16" s="93" t="s">
        <v>433</v>
      </c>
      <c r="B16" s="94" t="s">
        <v>441</v>
      </c>
      <c r="C16" s="95" t="s">
        <v>1104</v>
      </c>
      <c r="D16" s="95">
        <v>43468</v>
      </c>
      <c r="E16" s="96">
        <v>43493</v>
      </c>
      <c r="F16" s="95">
        <v>43485</v>
      </c>
      <c r="G16" s="95">
        <v>43491</v>
      </c>
      <c r="H16" s="92">
        <v>5</v>
      </c>
    </row>
    <row r="17" spans="1:8">
      <c r="A17" s="93" t="s">
        <v>433</v>
      </c>
      <c r="B17" s="94" t="s">
        <v>441</v>
      </c>
      <c r="C17" s="95" t="s">
        <v>1104</v>
      </c>
      <c r="D17" s="95">
        <v>43468</v>
      </c>
      <c r="E17" s="96">
        <v>43493</v>
      </c>
      <c r="F17" s="95">
        <v>43492</v>
      </c>
      <c r="G17" s="95">
        <v>43498</v>
      </c>
      <c r="H17" s="92">
        <v>1</v>
      </c>
    </row>
    <row r="18" spans="1:8">
      <c r="A18" s="93" t="s">
        <v>434</v>
      </c>
      <c r="B18" s="94" t="s">
        <v>1001</v>
      </c>
      <c r="C18" s="95" t="s">
        <v>1104</v>
      </c>
      <c r="D18" s="95">
        <v>43397</v>
      </c>
      <c r="E18" s="96">
        <v>43397</v>
      </c>
      <c r="F18" s="95">
        <v>43394</v>
      </c>
      <c r="G18" s="95">
        <v>43400</v>
      </c>
      <c r="H18" s="92">
        <v>1</v>
      </c>
    </row>
    <row r="19" spans="1:8">
      <c r="A19" s="93" t="s">
        <v>435</v>
      </c>
      <c r="B19" s="94" t="s">
        <v>442</v>
      </c>
      <c r="C19" s="95" t="s">
        <v>994</v>
      </c>
      <c r="D19" s="95">
        <v>43501</v>
      </c>
      <c r="E19" s="96">
        <v>43505</v>
      </c>
      <c r="F19" s="95">
        <v>43499</v>
      </c>
      <c r="G19" s="95">
        <v>43505</v>
      </c>
      <c r="H19" s="92">
        <v>2</v>
      </c>
    </row>
    <row r="20" spans="1:8">
      <c r="A20" s="93" t="s">
        <v>436</v>
      </c>
      <c r="B20" s="94" t="s">
        <v>443</v>
      </c>
      <c r="C20" s="95" t="s">
        <v>994</v>
      </c>
      <c r="D20" s="95">
        <v>43508</v>
      </c>
      <c r="E20" s="96">
        <v>43526</v>
      </c>
      <c r="F20" s="95">
        <v>43506</v>
      </c>
      <c r="G20" s="95">
        <v>43512</v>
      </c>
      <c r="H20" s="92">
        <v>4</v>
      </c>
    </row>
    <row r="21" spans="1:8">
      <c r="A21" s="93" t="s">
        <v>436</v>
      </c>
      <c r="B21" s="94" t="s">
        <v>443</v>
      </c>
      <c r="C21" s="95" t="s">
        <v>994</v>
      </c>
      <c r="D21" s="95">
        <v>43508</v>
      </c>
      <c r="E21" s="96">
        <v>43526</v>
      </c>
      <c r="F21" s="95">
        <v>43513</v>
      </c>
      <c r="G21" s="95">
        <v>43519</v>
      </c>
      <c r="H21" s="92">
        <v>5</v>
      </c>
    </row>
    <row r="22" spans="1:8">
      <c r="A22" s="93" t="s">
        <v>436</v>
      </c>
      <c r="B22" s="94" t="s">
        <v>443</v>
      </c>
      <c r="C22" s="95" t="s">
        <v>994</v>
      </c>
      <c r="D22" s="95">
        <v>43508</v>
      </c>
      <c r="E22" s="96">
        <v>43526</v>
      </c>
      <c r="F22" s="95">
        <v>43520</v>
      </c>
      <c r="G22" s="95">
        <v>43526</v>
      </c>
      <c r="H22" s="92">
        <v>4</v>
      </c>
    </row>
    <row r="23" spans="1:8">
      <c r="A23" s="93" t="s">
        <v>437</v>
      </c>
      <c r="B23" s="94" t="s">
        <v>444</v>
      </c>
      <c r="C23" s="95" t="s">
        <v>994</v>
      </c>
      <c r="D23" s="95">
        <v>43526</v>
      </c>
      <c r="E23" s="96">
        <v>43526</v>
      </c>
      <c r="F23" s="95">
        <v>43520</v>
      </c>
      <c r="G23" s="95">
        <v>43526</v>
      </c>
      <c r="H23" s="92">
        <v>0</v>
      </c>
    </row>
    <row r="24" spans="1:8">
      <c r="A24" s="93" t="s">
        <v>451</v>
      </c>
      <c r="B24" s="94" t="s">
        <v>445</v>
      </c>
      <c r="C24" s="95" t="s">
        <v>994</v>
      </c>
      <c r="D24" s="95">
        <v>43526</v>
      </c>
      <c r="E24" s="96">
        <v>43526</v>
      </c>
      <c r="F24" s="95">
        <v>43520</v>
      </c>
      <c r="G24" s="95">
        <v>43526</v>
      </c>
      <c r="H24" s="92">
        <v>0</v>
      </c>
    </row>
    <row r="25" spans="1:8">
      <c r="A25" s="93" t="s">
        <v>995</v>
      </c>
      <c r="B25" s="94" t="s">
        <v>446</v>
      </c>
      <c r="C25" s="95" t="s">
        <v>1052</v>
      </c>
      <c r="D25" s="95">
        <v>43379</v>
      </c>
      <c r="E25" s="96">
        <v>43397</v>
      </c>
      <c r="F25" s="95">
        <v>43375</v>
      </c>
      <c r="G25" s="95">
        <v>43379</v>
      </c>
      <c r="H25" s="92">
        <v>0</v>
      </c>
    </row>
    <row r="26" spans="1:8">
      <c r="A26" s="93" t="s">
        <v>995</v>
      </c>
      <c r="B26" s="94" t="s">
        <v>446</v>
      </c>
      <c r="C26" s="95" t="s">
        <v>1044</v>
      </c>
      <c r="D26" s="95">
        <v>43379</v>
      </c>
      <c r="E26" s="96">
        <v>43397</v>
      </c>
      <c r="F26" s="95">
        <v>43375</v>
      </c>
      <c r="G26" s="95">
        <v>43379</v>
      </c>
      <c r="H26" s="92">
        <v>0</v>
      </c>
    </row>
    <row r="27" spans="1:8">
      <c r="A27" s="93" t="s">
        <v>995</v>
      </c>
      <c r="B27" s="94" t="s">
        <v>446</v>
      </c>
      <c r="C27" s="95" t="s">
        <v>1053</v>
      </c>
      <c r="D27" s="95">
        <v>43379</v>
      </c>
      <c r="E27" s="96">
        <v>43397</v>
      </c>
      <c r="F27" s="95">
        <v>43375</v>
      </c>
      <c r="G27" s="95">
        <v>43379</v>
      </c>
      <c r="H27" s="92">
        <v>0</v>
      </c>
    </row>
    <row r="28" spans="1:8">
      <c r="A28" s="93" t="s">
        <v>995</v>
      </c>
      <c r="B28" s="94" t="s">
        <v>446</v>
      </c>
      <c r="C28" s="95" t="s">
        <v>1052</v>
      </c>
      <c r="D28" s="95">
        <v>43379</v>
      </c>
      <c r="E28" s="96">
        <v>43397</v>
      </c>
      <c r="F28" s="95">
        <v>43380</v>
      </c>
      <c r="G28" s="95">
        <v>43386</v>
      </c>
      <c r="H28" s="92">
        <v>1.3333333333333333</v>
      </c>
    </row>
    <row r="29" spans="1:8">
      <c r="A29" s="93" t="s">
        <v>995</v>
      </c>
      <c r="B29" s="94" t="s">
        <v>446</v>
      </c>
      <c r="C29" s="95" t="s">
        <v>1044</v>
      </c>
      <c r="D29" s="95">
        <v>43379</v>
      </c>
      <c r="E29" s="96">
        <v>43397</v>
      </c>
      <c r="F29" s="95">
        <v>43380</v>
      </c>
      <c r="G29" s="95">
        <v>43386</v>
      </c>
      <c r="H29" s="92">
        <v>1.3333333333333333</v>
      </c>
    </row>
    <row r="30" spans="1:8">
      <c r="A30" s="93" t="s">
        <v>995</v>
      </c>
      <c r="B30" s="94" t="s">
        <v>446</v>
      </c>
      <c r="C30" s="95" t="s">
        <v>1053</v>
      </c>
      <c r="D30" s="95">
        <v>43379</v>
      </c>
      <c r="E30" s="96">
        <v>43397</v>
      </c>
      <c r="F30" s="95">
        <v>43380</v>
      </c>
      <c r="G30" s="95">
        <v>43386</v>
      </c>
      <c r="H30" s="92">
        <v>1.3333333333333333</v>
      </c>
    </row>
    <row r="31" spans="1:8">
      <c r="A31" s="93" t="s">
        <v>995</v>
      </c>
      <c r="B31" s="94" t="s">
        <v>446</v>
      </c>
      <c r="C31" s="95" t="s">
        <v>1052</v>
      </c>
      <c r="D31" s="95">
        <v>43379</v>
      </c>
      <c r="E31" s="96">
        <v>43397</v>
      </c>
      <c r="F31" s="95">
        <v>43387</v>
      </c>
      <c r="G31" s="95">
        <v>43393</v>
      </c>
      <c r="H31" s="92">
        <v>1.6666666666666667</v>
      </c>
    </row>
    <row r="32" spans="1:8">
      <c r="A32" s="93" t="s">
        <v>995</v>
      </c>
      <c r="B32" s="94" t="s">
        <v>446</v>
      </c>
      <c r="C32" s="95" t="s">
        <v>1044</v>
      </c>
      <c r="D32" s="95">
        <v>43379</v>
      </c>
      <c r="E32" s="96">
        <v>43397</v>
      </c>
      <c r="F32" s="95">
        <v>43387</v>
      </c>
      <c r="G32" s="95">
        <v>43393</v>
      </c>
      <c r="H32" s="92">
        <v>1.6666666666666667</v>
      </c>
    </row>
    <row r="33" spans="1:8">
      <c r="A33" s="93" t="s">
        <v>995</v>
      </c>
      <c r="B33" s="94" t="s">
        <v>446</v>
      </c>
      <c r="C33" s="95" t="s">
        <v>1053</v>
      </c>
      <c r="D33" s="95">
        <v>43379</v>
      </c>
      <c r="E33" s="96">
        <v>43397</v>
      </c>
      <c r="F33" s="95">
        <v>43387</v>
      </c>
      <c r="G33" s="95">
        <v>43393</v>
      </c>
      <c r="H33" s="92">
        <v>1.6666666666666667</v>
      </c>
    </row>
    <row r="34" spans="1:8">
      <c r="A34" s="93" t="s">
        <v>995</v>
      </c>
      <c r="B34" s="94" t="s">
        <v>446</v>
      </c>
      <c r="C34" s="95" t="s">
        <v>1052</v>
      </c>
      <c r="D34" s="95">
        <v>43379</v>
      </c>
      <c r="E34" s="96">
        <v>43397</v>
      </c>
      <c r="F34" s="95">
        <v>43394</v>
      </c>
      <c r="G34" s="95">
        <v>43400</v>
      </c>
      <c r="H34" s="92">
        <v>1</v>
      </c>
    </row>
    <row r="35" spans="1:8">
      <c r="A35" s="93" t="s">
        <v>995</v>
      </c>
      <c r="B35" s="94" t="s">
        <v>446</v>
      </c>
      <c r="C35" s="95" t="s">
        <v>1044</v>
      </c>
      <c r="D35" s="95">
        <v>43379</v>
      </c>
      <c r="E35" s="96">
        <v>43397</v>
      </c>
      <c r="F35" s="95">
        <v>43394</v>
      </c>
      <c r="G35" s="95">
        <v>43400</v>
      </c>
      <c r="H35" s="92">
        <v>1</v>
      </c>
    </row>
    <row r="36" spans="1:8">
      <c r="A36" s="93" t="s">
        <v>995</v>
      </c>
      <c r="B36" s="94" t="s">
        <v>446</v>
      </c>
      <c r="C36" s="95" t="s">
        <v>1053</v>
      </c>
      <c r="D36" s="95">
        <v>43379</v>
      </c>
      <c r="E36" s="96">
        <v>43397</v>
      </c>
      <c r="F36" s="95">
        <v>43394</v>
      </c>
      <c r="G36" s="95">
        <v>43400</v>
      </c>
      <c r="H36" s="92">
        <v>1</v>
      </c>
    </row>
    <row r="37" spans="1:8">
      <c r="A37" s="93" t="s">
        <v>996</v>
      </c>
      <c r="B37" s="94" t="s">
        <v>447</v>
      </c>
      <c r="C37" s="95" t="s">
        <v>1044</v>
      </c>
      <c r="D37" s="95">
        <v>43385</v>
      </c>
      <c r="E37" s="96">
        <v>43396</v>
      </c>
      <c r="F37" s="95">
        <v>43380</v>
      </c>
      <c r="G37" s="95">
        <v>43386</v>
      </c>
      <c r="H37" s="92">
        <v>1</v>
      </c>
    </row>
    <row r="38" spans="1:8">
      <c r="A38" s="93" t="s">
        <v>996</v>
      </c>
      <c r="B38" s="94" t="s">
        <v>447</v>
      </c>
      <c r="C38" s="95" t="s">
        <v>1044</v>
      </c>
      <c r="D38" s="95">
        <v>43385</v>
      </c>
      <c r="E38" s="96">
        <v>43396</v>
      </c>
      <c r="F38" s="95">
        <v>43387</v>
      </c>
      <c r="G38" s="95">
        <v>43393</v>
      </c>
      <c r="H38" s="92">
        <v>5</v>
      </c>
    </row>
    <row r="39" spans="1:8">
      <c r="A39" s="93" t="s">
        <v>996</v>
      </c>
      <c r="B39" s="94" t="s">
        <v>447</v>
      </c>
      <c r="C39" s="95" t="s">
        <v>1044</v>
      </c>
      <c r="D39" s="95">
        <v>43385</v>
      </c>
      <c r="E39" s="96">
        <v>43396</v>
      </c>
      <c r="F39" s="95">
        <v>43394</v>
      </c>
      <c r="G39" s="95">
        <v>43400</v>
      </c>
      <c r="H39" s="92">
        <v>2</v>
      </c>
    </row>
    <row r="40" spans="1:8">
      <c r="A40" s="93" t="s">
        <v>997</v>
      </c>
      <c r="B40" s="94" t="s">
        <v>448</v>
      </c>
      <c r="C40" s="95" t="s">
        <v>1044</v>
      </c>
      <c r="D40" s="95">
        <v>43385</v>
      </c>
      <c r="E40" s="96">
        <v>43396</v>
      </c>
      <c r="F40" s="95">
        <v>43380</v>
      </c>
      <c r="G40" s="95">
        <v>43386</v>
      </c>
      <c r="H40" s="92">
        <v>1</v>
      </c>
    </row>
    <row r="41" spans="1:8">
      <c r="A41" s="93" t="s">
        <v>997</v>
      </c>
      <c r="B41" s="94" t="s">
        <v>448</v>
      </c>
      <c r="C41" s="95" t="s">
        <v>1044</v>
      </c>
      <c r="D41" s="95">
        <v>43385</v>
      </c>
      <c r="E41" s="96">
        <v>43396</v>
      </c>
      <c r="F41" s="95">
        <v>43387</v>
      </c>
      <c r="G41" s="95">
        <v>43393</v>
      </c>
      <c r="H41" s="92">
        <v>5</v>
      </c>
    </row>
    <row r="42" spans="1:8">
      <c r="A42" s="93" t="s">
        <v>997</v>
      </c>
      <c r="B42" s="94" t="s">
        <v>448</v>
      </c>
      <c r="C42" s="95" t="s">
        <v>1044</v>
      </c>
      <c r="D42" s="95">
        <v>43385</v>
      </c>
      <c r="E42" s="96">
        <v>43396</v>
      </c>
      <c r="F42" s="95">
        <v>43394</v>
      </c>
      <c r="G42" s="95">
        <v>43400</v>
      </c>
      <c r="H42" s="92">
        <v>2</v>
      </c>
    </row>
    <row r="43" spans="1:8">
      <c r="A43" s="93" t="s">
        <v>998</v>
      </c>
      <c r="B43" s="94" t="s">
        <v>1006</v>
      </c>
      <c r="C43" s="95" t="s">
        <v>1045</v>
      </c>
      <c r="D43" s="95">
        <v>43399</v>
      </c>
      <c r="E43" s="96">
        <v>43417</v>
      </c>
      <c r="F43" s="95">
        <v>43394</v>
      </c>
      <c r="G43" s="95">
        <v>43400</v>
      </c>
      <c r="H43" s="92">
        <v>1</v>
      </c>
    </row>
    <row r="44" spans="1:8">
      <c r="A44" s="93" t="s">
        <v>998</v>
      </c>
      <c r="B44" s="94" t="s">
        <v>1006</v>
      </c>
      <c r="C44" s="95" t="s">
        <v>1045</v>
      </c>
      <c r="D44" s="95">
        <v>43399</v>
      </c>
      <c r="E44" s="96">
        <v>43417</v>
      </c>
      <c r="F44" s="95">
        <v>43401</v>
      </c>
      <c r="G44" s="95">
        <v>43407</v>
      </c>
      <c r="H44" s="92">
        <v>5</v>
      </c>
    </row>
    <row r="45" spans="1:8">
      <c r="A45" s="93" t="s">
        <v>998</v>
      </c>
      <c r="B45" s="94" t="s">
        <v>1006</v>
      </c>
      <c r="C45" s="95" t="s">
        <v>1045</v>
      </c>
      <c r="D45" s="95">
        <v>43399</v>
      </c>
      <c r="E45" s="96">
        <v>43417</v>
      </c>
      <c r="F45" s="95">
        <v>43408</v>
      </c>
      <c r="G45" s="95">
        <v>43414</v>
      </c>
      <c r="H45" s="92">
        <v>5</v>
      </c>
    </row>
    <row r="46" spans="1:8">
      <c r="A46" s="93" t="s">
        <v>998</v>
      </c>
      <c r="B46" s="94" t="s">
        <v>1006</v>
      </c>
      <c r="C46" s="95" t="s">
        <v>1045</v>
      </c>
      <c r="D46" s="95">
        <v>43399</v>
      </c>
      <c r="E46" s="96">
        <v>43417</v>
      </c>
      <c r="F46" s="95">
        <v>43415</v>
      </c>
      <c r="G46" s="95">
        <v>43421</v>
      </c>
      <c r="H46" s="92">
        <v>2</v>
      </c>
    </row>
    <row r="47" spans="1:8">
      <c r="A47" s="93" t="s">
        <v>1008</v>
      </c>
      <c r="B47" s="94" t="s">
        <v>1009</v>
      </c>
      <c r="C47" s="95" t="s">
        <v>1046</v>
      </c>
      <c r="D47" s="95">
        <v>43406</v>
      </c>
      <c r="E47" s="96">
        <v>43417</v>
      </c>
      <c r="F47" s="95">
        <v>43401</v>
      </c>
      <c r="G47" s="95">
        <v>43407</v>
      </c>
      <c r="H47" s="92">
        <v>1</v>
      </c>
    </row>
    <row r="48" spans="1:8">
      <c r="A48" s="93" t="s">
        <v>1008</v>
      </c>
      <c r="B48" s="94" t="s">
        <v>1009</v>
      </c>
      <c r="C48" s="95" t="s">
        <v>1046</v>
      </c>
      <c r="D48" s="95">
        <v>43406</v>
      </c>
      <c r="E48" s="96">
        <v>43417</v>
      </c>
      <c r="F48" s="95">
        <v>43408</v>
      </c>
      <c r="G48" s="95">
        <v>43414</v>
      </c>
      <c r="H48" s="92">
        <v>5</v>
      </c>
    </row>
    <row r="49" spans="1:8">
      <c r="A49" s="93" t="s">
        <v>1008</v>
      </c>
      <c r="B49" s="94" t="s">
        <v>1009</v>
      </c>
      <c r="C49" s="95" t="s">
        <v>1046</v>
      </c>
      <c r="D49" s="95">
        <v>43406</v>
      </c>
      <c r="E49" s="96">
        <v>43417</v>
      </c>
      <c r="F49" s="95">
        <v>43415</v>
      </c>
      <c r="G49" s="95">
        <v>43421</v>
      </c>
      <c r="H49" s="92">
        <v>2</v>
      </c>
    </row>
    <row r="50" spans="1:8">
      <c r="A50" s="93" t="s">
        <v>1010</v>
      </c>
      <c r="B50" s="94" t="s">
        <v>1011</v>
      </c>
      <c r="C50" s="95" t="s">
        <v>1047</v>
      </c>
      <c r="D50" s="95">
        <v>43413</v>
      </c>
      <c r="E50" s="96">
        <v>43424</v>
      </c>
      <c r="F50" s="95">
        <v>43408</v>
      </c>
      <c r="G50" s="95">
        <v>43414</v>
      </c>
      <c r="H50" s="92">
        <v>1</v>
      </c>
    </row>
    <row r="51" spans="1:8">
      <c r="A51" s="93" t="s">
        <v>1010</v>
      </c>
      <c r="B51" s="94" t="s">
        <v>1011</v>
      </c>
      <c r="C51" s="95" t="s">
        <v>1047</v>
      </c>
      <c r="D51" s="95">
        <v>43413</v>
      </c>
      <c r="E51" s="96">
        <v>43424</v>
      </c>
      <c r="F51" s="95">
        <v>43415</v>
      </c>
      <c r="G51" s="95">
        <v>43421</v>
      </c>
      <c r="H51" s="92">
        <v>5</v>
      </c>
    </row>
    <row r="52" spans="1:8">
      <c r="A52" s="93" t="s">
        <v>1010</v>
      </c>
      <c r="B52" s="94" t="s">
        <v>1011</v>
      </c>
      <c r="C52" s="95" t="s">
        <v>1047</v>
      </c>
      <c r="D52" s="95">
        <v>43413</v>
      </c>
      <c r="E52" s="96">
        <v>43424</v>
      </c>
      <c r="F52" s="95">
        <v>43422</v>
      </c>
      <c r="G52" s="95">
        <v>43428</v>
      </c>
      <c r="H52" s="92">
        <v>2</v>
      </c>
    </row>
    <row r="53" spans="1:8">
      <c r="A53" s="93" t="s">
        <v>1012</v>
      </c>
      <c r="B53" s="94" t="s">
        <v>1013</v>
      </c>
      <c r="C53" s="95" t="s">
        <v>1048</v>
      </c>
      <c r="D53" s="95">
        <v>43413</v>
      </c>
      <c r="E53" s="96">
        <v>43431</v>
      </c>
      <c r="F53" s="95">
        <v>43408</v>
      </c>
      <c r="G53" s="95">
        <v>43414</v>
      </c>
      <c r="H53" s="92">
        <v>1</v>
      </c>
    </row>
    <row r="54" spans="1:8">
      <c r="A54" s="93" t="s">
        <v>1012</v>
      </c>
      <c r="B54" s="94" t="s">
        <v>1013</v>
      </c>
      <c r="C54" s="95" t="s">
        <v>1048</v>
      </c>
      <c r="D54" s="95">
        <v>43413</v>
      </c>
      <c r="E54" s="96">
        <v>43431</v>
      </c>
      <c r="F54" s="95">
        <v>43415</v>
      </c>
      <c r="G54" s="95">
        <v>43421</v>
      </c>
      <c r="H54" s="92">
        <v>5</v>
      </c>
    </row>
    <row r="55" spans="1:8">
      <c r="A55" s="93" t="s">
        <v>1012</v>
      </c>
      <c r="B55" s="94" t="s">
        <v>1013</v>
      </c>
      <c r="C55" s="95" t="s">
        <v>1048</v>
      </c>
      <c r="D55" s="95">
        <v>43413</v>
      </c>
      <c r="E55" s="96">
        <v>43431</v>
      </c>
      <c r="F55" s="95">
        <v>43422</v>
      </c>
      <c r="G55" s="95">
        <v>43428</v>
      </c>
      <c r="H55" s="92">
        <v>5</v>
      </c>
    </row>
    <row r="56" spans="1:8">
      <c r="A56" s="93" t="s">
        <v>1012</v>
      </c>
      <c r="B56" s="94" t="s">
        <v>1013</v>
      </c>
      <c r="C56" s="95" t="s">
        <v>1048</v>
      </c>
      <c r="D56" s="95">
        <v>43413</v>
      </c>
      <c r="E56" s="96">
        <v>43431</v>
      </c>
      <c r="F56" s="95">
        <v>43429</v>
      </c>
      <c r="G56" s="95">
        <v>43435</v>
      </c>
      <c r="H56" s="92">
        <v>2</v>
      </c>
    </row>
    <row r="57" spans="1:8">
      <c r="A57" s="93" t="s">
        <v>999</v>
      </c>
      <c r="B57" s="94" t="s">
        <v>1014</v>
      </c>
      <c r="C57" s="95" t="s">
        <v>1048</v>
      </c>
      <c r="D57" s="95">
        <v>43434</v>
      </c>
      <c r="E57" s="96">
        <v>43438</v>
      </c>
      <c r="F57" s="95">
        <v>43429</v>
      </c>
      <c r="G57" s="95">
        <v>43435</v>
      </c>
      <c r="H57" s="92">
        <v>1</v>
      </c>
    </row>
    <row r="58" spans="1:8">
      <c r="A58" s="93" t="s">
        <v>999</v>
      </c>
      <c r="B58" s="94" t="s">
        <v>1014</v>
      </c>
      <c r="C58" s="95" t="s">
        <v>1048</v>
      </c>
      <c r="D58" s="95">
        <v>43434</v>
      </c>
      <c r="E58" s="96">
        <v>43438</v>
      </c>
      <c r="F58" s="95">
        <v>43436</v>
      </c>
      <c r="G58" s="95">
        <v>43442</v>
      </c>
      <c r="H58" s="92">
        <v>2</v>
      </c>
    </row>
    <row r="59" spans="1:8">
      <c r="A59" s="93" t="s">
        <v>1015</v>
      </c>
      <c r="B59" s="94" t="s">
        <v>1016</v>
      </c>
      <c r="C59" s="95" t="s">
        <v>1048</v>
      </c>
      <c r="D59" s="95">
        <v>43434</v>
      </c>
      <c r="E59" s="96">
        <v>43438</v>
      </c>
      <c r="F59" s="95">
        <v>43429</v>
      </c>
      <c r="G59" s="95">
        <v>43435</v>
      </c>
      <c r="H59" s="92">
        <v>1</v>
      </c>
    </row>
    <row r="60" spans="1:8">
      <c r="A60" s="93" t="s">
        <v>1015</v>
      </c>
      <c r="B60" s="94" t="s">
        <v>1016</v>
      </c>
      <c r="C60" s="95" t="s">
        <v>1048</v>
      </c>
      <c r="D60" s="95">
        <v>43434</v>
      </c>
      <c r="E60" s="96">
        <v>43438</v>
      </c>
      <c r="F60" s="95">
        <v>43436</v>
      </c>
      <c r="G60" s="95">
        <v>43442</v>
      </c>
      <c r="H60" s="92">
        <v>2</v>
      </c>
    </row>
    <row r="61" spans="1:8">
      <c r="A61" s="93" t="s">
        <v>1017</v>
      </c>
      <c r="B61" s="94" t="s">
        <v>1018</v>
      </c>
      <c r="C61" s="95" t="s">
        <v>1049</v>
      </c>
      <c r="D61" s="95">
        <v>43434</v>
      </c>
      <c r="E61" s="96">
        <v>43438</v>
      </c>
      <c r="F61" s="95">
        <v>43429</v>
      </c>
      <c r="G61" s="95">
        <v>43435</v>
      </c>
      <c r="H61" s="92">
        <v>1</v>
      </c>
    </row>
    <row r="62" spans="1:8">
      <c r="A62" s="93" t="s">
        <v>1017</v>
      </c>
      <c r="B62" s="94" t="s">
        <v>1018</v>
      </c>
      <c r="C62" s="95" t="s">
        <v>1049</v>
      </c>
      <c r="D62" s="95">
        <v>43434</v>
      </c>
      <c r="E62" s="96">
        <v>43438</v>
      </c>
      <c r="F62" s="95">
        <v>43436</v>
      </c>
      <c r="G62" s="95">
        <v>43442</v>
      </c>
      <c r="H62" s="92">
        <v>2</v>
      </c>
    </row>
    <row r="63" spans="1:8">
      <c r="A63" s="93" t="s">
        <v>1019</v>
      </c>
      <c r="B63" s="94" t="s">
        <v>1020</v>
      </c>
      <c r="C63" s="95" t="s">
        <v>1050</v>
      </c>
      <c r="D63" s="95">
        <v>43441</v>
      </c>
      <c r="E63" s="96">
        <v>43445</v>
      </c>
      <c r="F63" s="95">
        <v>43436</v>
      </c>
      <c r="G63" s="95">
        <v>43442</v>
      </c>
      <c r="H63" s="92">
        <v>1</v>
      </c>
    </row>
    <row r="64" spans="1:8">
      <c r="A64" s="93" t="s">
        <v>1019</v>
      </c>
      <c r="B64" s="94" t="s">
        <v>1020</v>
      </c>
      <c r="C64" s="95" t="s">
        <v>1050</v>
      </c>
      <c r="D64" s="95">
        <v>43441</v>
      </c>
      <c r="E64" s="96">
        <v>43445</v>
      </c>
      <c r="F64" s="95">
        <v>43443</v>
      </c>
      <c r="G64" s="95">
        <v>43449</v>
      </c>
      <c r="H64" s="92">
        <v>2</v>
      </c>
    </row>
    <row r="65" spans="1:8">
      <c r="A65" s="93" t="s">
        <v>1021</v>
      </c>
      <c r="B65" s="94" t="s">
        <v>1022</v>
      </c>
      <c r="C65" s="95" t="s">
        <v>1050</v>
      </c>
      <c r="D65" s="95">
        <v>43441</v>
      </c>
      <c r="E65" s="96">
        <v>43452</v>
      </c>
      <c r="F65" s="95">
        <v>43436</v>
      </c>
      <c r="G65" s="95">
        <v>43442</v>
      </c>
      <c r="H65" s="92">
        <v>1</v>
      </c>
    </row>
    <row r="66" spans="1:8">
      <c r="A66" s="93" t="s">
        <v>1021</v>
      </c>
      <c r="B66" s="94" t="s">
        <v>1022</v>
      </c>
      <c r="C66" s="95" t="s">
        <v>1050</v>
      </c>
      <c r="D66" s="95">
        <v>43441</v>
      </c>
      <c r="E66" s="96">
        <v>43452</v>
      </c>
      <c r="F66" s="95">
        <v>43443</v>
      </c>
      <c r="G66" s="95">
        <v>43449</v>
      </c>
      <c r="H66" s="92">
        <v>5</v>
      </c>
    </row>
    <row r="67" spans="1:8">
      <c r="A67" s="93" t="s">
        <v>1021</v>
      </c>
      <c r="B67" s="94" t="s">
        <v>1022</v>
      </c>
      <c r="C67" s="95" t="s">
        <v>1050</v>
      </c>
      <c r="D67" s="95">
        <v>43441</v>
      </c>
      <c r="E67" s="96">
        <v>43452</v>
      </c>
      <c r="F67" s="95">
        <v>43450</v>
      </c>
      <c r="G67" s="95">
        <v>43456</v>
      </c>
      <c r="H67" s="92">
        <v>2</v>
      </c>
    </row>
    <row r="68" spans="1:8">
      <c r="A68" s="93" t="s">
        <v>1023</v>
      </c>
      <c r="B68" s="94" t="s">
        <v>1024</v>
      </c>
      <c r="C68" s="95" t="s">
        <v>1049</v>
      </c>
      <c r="D68" s="95">
        <v>43434</v>
      </c>
      <c r="E68" s="96">
        <v>43493</v>
      </c>
      <c r="F68" s="95">
        <v>43429</v>
      </c>
      <c r="G68" s="95">
        <v>43435</v>
      </c>
      <c r="H68" s="92">
        <v>0.5</v>
      </c>
    </row>
    <row r="69" spans="1:8">
      <c r="A69" s="93" t="s">
        <v>1023</v>
      </c>
      <c r="B69" s="94" t="s">
        <v>1024</v>
      </c>
      <c r="C69" s="95" t="s">
        <v>1050</v>
      </c>
      <c r="D69" s="95">
        <v>43434</v>
      </c>
      <c r="E69" s="96">
        <v>43493</v>
      </c>
      <c r="F69" s="95">
        <v>43429</v>
      </c>
      <c r="G69" s="95">
        <v>43435</v>
      </c>
      <c r="H69" s="92">
        <v>0.5</v>
      </c>
    </row>
    <row r="70" spans="1:8">
      <c r="A70" s="93" t="s">
        <v>1023</v>
      </c>
      <c r="B70" s="94" t="s">
        <v>1024</v>
      </c>
      <c r="C70" s="95" t="s">
        <v>1049</v>
      </c>
      <c r="D70" s="95">
        <v>43434</v>
      </c>
      <c r="E70" s="96">
        <v>43493</v>
      </c>
      <c r="F70" s="95">
        <v>43436</v>
      </c>
      <c r="G70" s="95">
        <v>43442</v>
      </c>
      <c r="H70" s="92">
        <v>2.5</v>
      </c>
    </row>
    <row r="71" spans="1:8">
      <c r="A71" s="93" t="s">
        <v>1023</v>
      </c>
      <c r="B71" s="94" t="s">
        <v>1024</v>
      </c>
      <c r="C71" s="95" t="s">
        <v>1050</v>
      </c>
      <c r="D71" s="95">
        <v>43434</v>
      </c>
      <c r="E71" s="96">
        <v>43493</v>
      </c>
      <c r="F71" s="95">
        <v>43436</v>
      </c>
      <c r="G71" s="95">
        <v>43442</v>
      </c>
      <c r="H71" s="92">
        <v>2.5</v>
      </c>
    </row>
    <row r="72" spans="1:8">
      <c r="A72" s="93" t="s">
        <v>1023</v>
      </c>
      <c r="B72" s="94" t="s">
        <v>1024</v>
      </c>
      <c r="C72" s="95" t="s">
        <v>1049</v>
      </c>
      <c r="D72" s="95">
        <v>43434</v>
      </c>
      <c r="E72" s="96">
        <v>43493</v>
      </c>
      <c r="F72" s="95">
        <v>43443</v>
      </c>
      <c r="G72" s="95">
        <v>43449</v>
      </c>
      <c r="H72" s="92">
        <v>2.5</v>
      </c>
    </row>
    <row r="73" spans="1:8">
      <c r="A73" s="93" t="s">
        <v>1023</v>
      </c>
      <c r="B73" s="94" t="s">
        <v>1024</v>
      </c>
      <c r="C73" s="95" t="s">
        <v>1050</v>
      </c>
      <c r="D73" s="95">
        <v>43434</v>
      </c>
      <c r="E73" s="96">
        <v>43493</v>
      </c>
      <c r="F73" s="95">
        <v>43443</v>
      </c>
      <c r="G73" s="95">
        <v>43449</v>
      </c>
      <c r="H73" s="92">
        <v>2.5</v>
      </c>
    </row>
    <row r="74" spans="1:8">
      <c r="A74" s="93" t="s">
        <v>1023</v>
      </c>
      <c r="B74" s="94" t="s">
        <v>1024</v>
      </c>
      <c r="C74" s="95" t="s">
        <v>1049</v>
      </c>
      <c r="D74" s="95">
        <v>43434</v>
      </c>
      <c r="E74" s="96">
        <v>43493</v>
      </c>
      <c r="F74" s="95">
        <v>43450</v>
      </c>
      <c r="G74" s="95">
        <v>43456</v>
      </c>
      <c r="H74" s="92">
        <v>2.5</v>
      </c>
    </row>
    <row r="75" spans="1:8">
      <c r="A75" s="93" t="s">
        <v>1023</v>
      </c>
      <c r="B75" s="94" t="s">
        <v>1024</v>
      </c>
      <c r="C75" s="95" t="s">
        <v>1050</v>
      </c>
      <c r="D75" s="95">
        <v>43434</v>
      </c>
      <c r="E75" s="96">
        <v>43493</v>
      </c>
      <c r="F75" s="95">
        <v>43450</v>
      </c>
      <c r="G75" s="95">
        <v>43456</v>
      </c>
      <c r="H75" s="92">
        <v>2.5</v>
      </c>
    </row>
    <row r="76" spans="1:8">
      <c r="A76" s="93" t="s">
        <v>1023</v>
      </c>
      <c r="B76" s="94" t="s">
        <v>1024</v>
      </c>
      <c r="C76" s="95" t="s">
        <v>1049</v>
      </c>
      <c r="D76" s="95">
        <v>43434</v>
      </c>
      <c r="E76" s="96">
        <v>43493</v>
      </c>
      <c r="F76" s="95">
        <v>43457</v>
      </c>
      <c r="G76" s="95">
        <v>43463</v>
      </c>
      <c r="H76" s="92">
        <v>2</v>
      </c>
    </row>
    <row r="77" spans="1:8">
      <c r="A77" s="93" t="s">
        <v>1023</v>
      </c>
      <c r="B77" s="94" t="s">
        <v>1024</v>
      </c>
      <c r="C77" s="95" t="s">
        <v>1050</v>
      </c>
      <c r="D77" s="95">
        <v>43434</v>
      </c>
      <c r="E77" s="96">
        <v>43493</v>
      </c>
      <c r="F77" s="95">
        <v>43457</v>
      </c>
      <c r="G77" s="95">
        <v>43463</v>
      </c>
      <c r="H77" s="92">
        <v>2</v>
      </c>
    </row>
    <row r="78" spans="1:8">
      <c r="A78" s="93" t="s">
        <v>1023</v>
      </c>
      <c r="B78" s="94" t="s">
        <v>1024</v>
      </c>
      <c r="C78" s="95" t="s">
        <v>1049</v>
      </c>
      <c r="D78" s="95">
        <v>43434</v>
      </c>
      <c r="E78" s="96">
        <v>43493</v>
      </c>
      <c r="F78" s="95">
        <v>43464</v>
      </c>
      <c r="G78" s="95">
        <v>43470</v>
      </c>
      <c r="H78" s="92">
        <v>2</v>
      </c>
    </row>
    <row r="79" spans="1:8">
      <c r="A79" s="93" t="s">
        <v>1023</v>
      </c>
      <c r="B79" s="94" t="s">
        <v>1024</v>
      </c>
      <c r="C79" s="95" t="s">
        <v>1050</v>
      </c>
      <c r="D79" s="95">
        <v>43434</v>
      </c>
      <c r="E79" s="96">
        <v>43493</v>
      </c>
      <c r="F79" s="95">
        <v>43464</v>
      </c>
      <c r="G79" s="95">
        <v>43470</v>
      </c>
      <c r="H79" s="92">
        <v>2</v>
      </c>
    </row>
    <row r="80" spans="1:8">
      <c r="A80" s="93" t="s">
        <v>1023</v>
      </c>
      <c r="B80" s="94" t="s">
        <v>1024</v>
      </c>
      <c r="C80" s="95" t="s">
        <v>1049</v>
      </c>
      <c r="D80" s="95">
        <v>43434</v>
      </c>
      <c r="E80" s="96">
        <v>43493</v>
      </c>
      <c r="F80" s="95">
        <v>43471</v>
      </c>
      <c r="G80" s="95">
        <v>43477</v>
      </c>
      <c r="H80" s="92">
        <v>2.5</v>
      </c>
    </row>
    <row r="81" spans="1:8">
      <c r="A81" s="93" t="s">
        <v>1023</v>
      </c>
      <c r="B81" s="94" t="s">
        <v>1024</v>
      </c>
      <c r="C81" s="95" t="s">
        <v>1050</v>
      </c>
      <c r="D81" s="95">
        <v>43434</v>
      </c>
      <c r="E81" s="96">
        <v>43493</v>
      </c>
      <c r="F81" s="95">
        <v>43471</v>
      </c>
      <c r="G81" s="95">
        <v>43477</v>
      </c>
      <c r="H81" s="92">
        <v>2.5</v>
      </c>
    </row>
    <row r="82" spans="1:8">
      <c r="A82" s="93" t="s">
        <v>1023</v>
      </c>
      <c r="B82" s="94" t="s">
        <v>1024</v>
      </c>
      <c r="C82" s="95" t="s">
        <v>1049</v>
      </c>
      <c r="D82" s="95">
        <v>43434</v>
      </c>
      <c r="E82" s="96">
        <v>43493</v>
      </c>
      <c r="F82" s="95">
        <v>43478</v>
      </c>
      <c r="G82" s="95">
        <v>43484</v>
      </c>
      <c r="H82" s="92">
        <v>2.5</v>
      </c>
    </row>
    <row r="83" spans="1:8">
      <c r="A83" s="93" t="s">
        <v>1023</v>
      </c>
      <c r="B83" s="94" t="s">
        <v>1024</v>
      </c>
      <c r="C83" s="95" t="s">
        <v>1050</v>
      </c>
      <c r="D83" s="95">
        <v>43434</v>
      </c>
      <c r="E83" s="96">
        <v>43493</v>
      </c>
      <c r="F83" s="95">
        <v>43478</v>
      </c>
      <c r="G83" s="95">
        <v>43484</v>
      </c>
      <c r="H83" s="92">
        <v>2.5</v>
      </c>
    </row>
    <row r="84" spans="1:8">
      <c r="A84" s="93" t="s">
        <v>1023</v>
      </c>
      <c r="B84" s="94" t="s">
        <v>1024</v>
      </c>
      <c r="C84" s="95" t="s">
        <v>1049</v>
      </c>
      <c r="D84" s="95">
        <v>43434</v>
      </c>
      <c r="E84" s="96">
        <v>43493</v>
      </c>
      <c r="F84" s="95">
        <v>43485</v>
      </c>
      <c r="G84" s="95">
        <v>43491</v>
      </c>
      <c r="H84" s="92">
        <v>2.5</v>
      </c>
    </row>
    <row r="85" spans="1:8">
      <c r="A85" s="93" t="s">
        <v>1023</v>
      </c>
      <c r="B85" s="94" t="s">
        <v>1024</v>
      </c>
      <c r="C85" s="95" t="s">
        <v>1050</v>
      </c>
      <c r="D85" s="95">
        <v>43434</v>
      </c>
      <c r="E85" s="96">
        <v>43493</v>
      </c>
      <c r="F85" s="95">
        <v>43485</v>
      </c>
      <c r="G85" s="95">
        <v>43491</v>
      </c>
      <c r="H85" s="92">
        <v>2.5</v>
      </c>
    </row>
    <row r="86" spans="1:8">
      <c r="A86" s="93" t="s">
        <v>1023</v>
      </c>
      <c r="B86" s="94" t="s">
        <v>1024</v>
      </c>
      <c r="C86" s="95" t="s">
        <v>1049</v>
      </c>
      <c r="D86" s="95">
        <v>43434</v>
      </c>
      <c r="E86" s="96">
        <v>43493</v>
      </c>
      <c r="F86" s="95">
        <v>43492</v>
      </c>
      <c r="G86" s="95">
        <v>43498</v>
      </c>
      <c r="H86" s="92">
        <v>0.5</v>
      </c>
    </row>
    <row r="87" spans="1:8">
      <c r="A87" s="93" t="s">
        <v>1023</v>
      </c>
      <c r="B87" s="94" t="s">
        <v>1024</v>
      </c>
      <c r="C87" s="95" t="s">
        <v>1050</v>
      </c>
      <c r="D87" s="95">
        <v>43434</v>
      </c>
      <c r="E87" s="96">
        <v>43493</v>
      </c>
      <c r="F87" s="95">
        <v>43492</v>
      </c>
      <c r="G87" s="95">
        <v>43498</v>
      </c>
      <c r="H87" s="92">
        <v>0.5</v>
      </c>
    </row>
    <row r="88" spans="1:8">
      <c r="A88" s="93" t="s">
        <v>1025</v>
      </c>
      <c r="B88" s="94" t="s">
        <v>1026</v>
      </c>
      <c r="C88" s="95" t="s">
        <v>1049</v>
      </c>
      <c r="D88" s="95">
        <v>43434</v>
      </c>
      <c r="E88" s="96">
        <v>43493</v>
      </c>
      <c r="F88" s="95">
        <v>43429</v>
      </c>
      <c r="G88" s="95">
        <v>43435</v>
      </c>
      <c r="H88" s="92">
        <v>1</v>
      </c>
    </row>
    <row r="89" spans="1:8">
      <c r="A89" s="93" t="s">
        <v>1025</v>
      </c>
      <c r="B89" s="94" t="s">
        <v>1026</v>
      </c>
      <c r="C89" s="95" t="s">
        <v>1049</v>
      </c>
      <c r="D89" s="95">
        <v>43434</v>
      </c>
      <c r="E89" s="96">
        <v>43493</v>
      </c>
      <c r="F89" s="95">
        <v>43436</v>
      </c>
      <c r="G89" s="95">
        <v>43442</v>
      </c>
      <c r="H89" s="92">
        <v>5</v>
      </c>
    </row>
    <row r="90" spans="1:8">
      <c r="A90" s="93" t="s">
        <v>1025</v>
      </c>
      <c r="B90" s="94" t="s">
        <v>1026</v>
      </c>
      <c r="C90" s="95" t="s">
        <v>1049</v>
      </c>
      <c r="D90" s="95">
        <v>43434</v>
      </c>
      <c r="E90" s="96">
        <v>43493</v>
      </c>
      <c r="F90" s="95">
        <v>43443</v>
      </c>
      <c r="G90" s="95">
        <v>43449</v>
      </c>
      <c r="H90" s="92">
        <v>5</v>
      </c>
    </row>
    <row r="91" spans="1:8">
      <c r="A91" s="93" t="s">
        <v>1025</v>
      </c>
      <c r="B91" s="94" t="s">
        <v>1026</v>
      </c>
      <c r="C91" s="95" t="s">
        <v>1049</v>
      </c>
      <c r="D91" s="95">
        <v>43434</v>
      </c>
      <c r="E91" s="96">
        <v>43493</v>
      </c>
      <c r="F91" s="95">
        <v>43450</v>
      </c>
      <c r="G91" s="95">
        <v>43456</v>
      </c>
      <c r="H91" s="92">
        <v>5</v>
      </c>
    </row>
    <row r="92" spans="1:8">
      <c r="A92" s="93" t="s">
        <v>1025</v>
      </c>
      <c r="B92" s="94" t="s">
        <v>1026</v>
      </c>
      <c r="C92" s="95" t="s">
        <v>1049</v>
      </c>
      <c r="D92" s="95">
        <v>43434</v>
      </c>
      <c r="E92" s="96">
        <v>43493</v>
      </c>
      <c r="F92" s="95">
        <v>43457</v>
      </c>
      <c r="G92" s="95">
        <v>43463</v>
      </c>
      <c r="H92" s="92">
        <v>4</v>
      </c>
    </row>
    <row r="93" spans="1:8">
      <c r="A93" s="93" t="s">
        <v>1025</v>
      </c>
      <c r="B93" s="94" t="s">
        <v>1026</v>
      </c>
      <c r="C93" s="95" t="s">
        <v>1049</v>
      </c>
      <c r="D93" s="95">
        <v>43434</v>
      </c>
      <c r="E93" s="96">
        <v>43493</v>
      </c>
      <c r="F93" s="95">
        <v>43464</v>
      </c>
      <c r="G93" s="95">
        <v>43470</v>
      </c>
      <c r="H93" s="92">
        <v>4</v>
      </c>
    </row>
    <row r="94" spans="1:8">
      <c r="A94" s="93" t="s">
        <v>1025</v>
      </c>
      <c r="B94" s="94" t="s">
        <v>1026</v>
      </c>
      <c r="C94" s="95" t="s">
        <v>1049</v>
      </c>
      <c r="D94" s="95">
        <v>43434</v>
      </c>
      <c r="E94" s="96">
        <v>43493</v>
      </c>
      <c r="F94" s="95">
        <v>43471</v>
      </c>
      <c r="G94" s="95">
        <v>43477</v>
      </c>
      <c r="H94" s="92">
        <v>5</v>
      </c>
    </row>
    <row r="95" spans="1:8">
      <c r="A95" s="93" t="s">
        <v>1025</v>
      </c>
      <c r="B95" s="94" t="s">
        <v>1026</v>
      </c>
      <c r="C95" s="95" t="s">
        <v>1049</v>
      </c>
      <c r="D95" s="95">
        <v>43434</v>
      </c>
      <c r="E95" s="96">
        <v>43493</v>
      </c>
      <c r="F95" s="95">
        <v>43478</v>
      </c>
      <c r="G95" s="95">
        <v>43484</v>
      </c>
      <c r="H95" s="92">
        <v>5</v>
      </c>
    </row>
    <row r="96" spans="1:8">
      <c r="A96" s="93" t="s">
        <v>1025</v>
      </c>
      <c r="B96" s="94" t="s">
        <v>1026</v>
      </c>
      <c r="C96" s="95" t="s">
        <v>1049</v>
      </c>
      <c r="D96" s="95">
        <v>43434</v>
      </c>
      <c r="E96" s="96">
        <v>43493</v>
      </c>
      <c r="F96" s="95">
        <v>43485</v>
      </c>
      <c r="G96" s="95">
        <v>43491</v>
      </c>
      <c r="H96" s="92">
        <v>5</v>
      </c>
    </row>
    <row r="97" spans="1:8">
      <c r="A97" s="93" t="s">
        <v>1025</v>
      </c>
      <c r="B97" s="94" t="s">
        <v>1026</v>
      </c>
      <c r="C97" s="95" t="s">
        <v>1049</v>
      </c>
      <c r="D97" s="95">
        <v>43434</v>
      </c>
      <c r="E97" s="96">
        <v>43493</v>
      </c>
      <c r="F97" s="95">
        <v>43492</v>
      </c>
      <c r="G97" s="95">
        <v>43498</v>
      </c>
      <c r="H97" s="92">
        <v>1</v>
      </c>
    </row>
    <row r="98" spans="1:8">
      <c r="A98" s="93" t="s">
        <v>1027</v>
      </c>
      <c r="B98" s="94" t="s">
        <v>1028</v>
      </c>
      <c r="C98" s="95" t="s">
        <v>1050</v>
      </c>
      <c r="D98" s="95">
        <v>43448</v>
      </c>
      <c r="E98" s="96">
        <v>43493</v>
      </c>
      <c r="F98" s="95">
        <v>43443</v>
      </c>
      <c r="G98" s="95">
        <v>43449</v>
      </c>
      <c r="H98" s="92">
        <v>1</v>
      </c>
    </row>
    <row r="99" spans="1:8">
      <c r="A99" s="93" t="s">
        <v>1027</v>
      </c>
      <c r="B99" s="94" t="s">
        <v>1028</v>
      </c>
      <c r="C99" s="95" t="s">
        <v>1050</v>
      </c>
      <c r="D99" s="95">
        <v>43448</v>
      </c>
      <c r="E99" s="96">
        <v>43493</v>
      </c>
      <c r="F99" s="95">
        <v>43450</v>
      </c>
      <c r="G99" s="95">
        <v>43456</v>
      </c>
      <c r="H99" s="92">
        <v>5</v>
      </c>
    </row>
    <row r="100" spans="1:8">
      <c r="A100" s="93" t="s">
        <v>1027</v>
      </c>
      <c r="B100" s="94" t="s">
        <v>1028</v>
      </c>
      <c r="C100" s="95" t="s">
        <v>1050</v>
      </c>
      <c r="D100" s="95">
        <v>43448</v>
      </c>
      <c r="E100" s="96">
        <v>43493</v>
      </c>
      <c r="F100" s="95">
        <v>43457</v>
      </c>
      <c r="G100" s="95">
        <v>43463</v>
      </c>
      <c r="H100" s="92">
        <v>4</v>
      </c>
    </row>
    <row r="101" spans="1:8">
      <c r="A101" s="93" t="s">
        <v>1027</v>
      </c>
      <c r="B101" s="94" t="s">
        <v>1028</v>
      </c>
      <c r="C101" s="95" t="s">
        <v>1050</v>
      </c>
      <c r="D101" s="95">
        <v>43448</v>
      </c>
      <c r="E101" s="96">
        <v>43493</v>
      </c>
      <c r="F101" s="95">
        <v>43464</v>
      </c>
      <c r="G101" s="95">
        <v>43470</v>
      </c>
      <c r="H101" s="92">
        <v>4</v>
      </c>
    </row>
    <row r="102" spans="1:8">
      <c r="A102" s="93" t="s">
        <v>1027</v>
      </c>
      <c r="B102" s="94" t="s">
        <v>1028</v>
      </c>
      <c r="C102" s="95" t="s">
        <v>1050</v>
      </c>
      <c r="D102" s="95">
        <v>43448</v>
      </c>
      <c r="E102" s="96">
        <v>43493</v>
      </c>
      <c r="F102" s="95">
        <v>43471</v>
      </c>
      <c r="G102" s="95">
        <v>43477</v>
      </c>
      <c r="H102" s="92">
        <v>5</v>
      </c>
    </row>
    <row r="103" spans="1:8">
      <c r="A103" s="93" t="s">
        <v>1027</v>
      </c>
      <c r="B103" s="94" t="s">
        <v>1028</v>
      </c>
      <c r="C103" s="95" t="s">
        <v>1050</v>
      </c>
      <c r="D103" s="95">
        <v>43448</v>
      </c>
      <c r="E103" s="96">
        <v>43493</v>
      </c>
      <c r="F103" s="95">
        <v>43478</v>
      </c>
      <c r="G103" s="95">
        <v>43484</v>
      </c>
      <c r="H103" s="92">
        <v>5</v>
      </c>
    </row>
    <row r="104" spans="1:8">
      <c r="A104" s="93" t="s">
        <v>1027</v>
      </c>
      <c r="B104" s="94" t="s">
        <v>1028</v>
      </c>
      <c r="C104" s="95" t="s">
        <v>1050</v>
      </c>
      <c r="D104" s="95">
        <v>43448</v>
      </c>
      <c r="E104" s="96">
        <v>43493</v>
      </c>
      <c r="F104" s="95">
        <v>43485</v>
      </c>
      <c r="G104" s="95">
        <v>43491</v>
      </c>
      <c r="H104" s="92">
        <v>5</v>
      </c>
    </row>
    <row r="105" spans="1:8">
      <c r="A105" s="93" t="s">
        <v>1027</v>
      </c>
      <c r="B105" s="94" t="s">
        <v>1028</v>
      </c>
      <c r="C105" s="95" t="s">
        <v>1050</v>
      </c>
      <c r="D105" s="95">
        <v>43448</v>
      </c>
      <c r="E105" s="96">
        <v>43493</v>
      </c>
      <c r="F105" s="95">
        <v>43492</v>
      </c>
      <c r="G105" s="95">
        <v>43498</v>
      </c>
      <c r="H105" s="92">
        <v>1</v>
      </c>
    </row>
    <row r="106" spans="1:8">
      <c r="A106" s="93" t="s">
        <v>1029</v>
      </c>
      <c r="B106" s="94" t="s">
        <v>1030</v>
      </c>
      <c r="C106" s="95" t="s">
        <v>1048</v>
      </c>
      <c r="D106" s="95">
        <v>43476</v>
      </c>
      <c r="E106" s="96">
        <v>43494</v>
      </c>
      <c r="F106" s="95">
        <v>43471</v>
      </c>
      <c r="G106" s="95">
        <v>43477</v>
      </c>
      <c r="H106" s="92">
        <v>1</v>
      </c>
    </row>
    <row r="107" spans="1:8">
      <c r="A107" s="93" t="s">
        <v>1029</v>
      </c>
      <c r="B107" s="94" t="s">
        <v>1030</v>
      </c>
      <c r="C107" s="95" t="s">
        <v>1048</v>
      </c>
      <c r="D107" s="95">
        <v>43476</v>
      </c>
      <c r="E107" s="96">
        <v>43494</v>
      </c>
      <c r="F107" s="95">
        <v>43478</v>
      </c>
      <c r="G107" s="95">
        <v>43484</v>
      </c>
      <c r="H107" s="92">
        <v>5</v>
      </c>
    </row>
    <row r="108" spans="1:8">
      <c r="A108" s="93" t="s">
        <v>1029</v>
      </c>
      <c r="B108" s="94" t="s">
        <v>1030</v>
      </c>
      <c r="C108" s="95" t="s">
        <v>1048</v>
      </c>
      <c r="D108" s="95">
        <v>43476</v>
      </c>
      <c r="E108" s="96">
        <v>43494</v>
      </c>
      <c r="F108" s="95">
        <v>43485</v>
      </c>
      <c r="G108" s="95">
        <v>43491</v>
      </c>
      <c r="H108" s="92">
        <v>5</v>
      </c>
    </row>
    <row r="109" spans="1:8">
      <c r="A109" s="93" t="s">
        <v>1029</v>
      </c>
      <c r="B109" s="94" t="s">
        <v>1030</v>
      </c>
      <c r="C109" s="95" t="s">
        <v>1048</v>
      </c>
      <c r="D109" s="95">
        <v>43476</v>
      </c>
      <c r="E109" s="96">
        <v>43494</v>
      </c>
      <c r="F109" s="95">
        <v>43492</v>
      </c>
      <c r="G109" s="95">
        <v>43498</v>
      </c>
      <c r="H109" s="92">
        <v>2</v>
      </c>
    </row>
    <row r="110" spans="1:8">
      <c r="A110" s="93" t="s">
        <v>1031</v>
      </c>
      <c r="B110" s="94" t="s">
        <v>1032</v>
      </c>
      <c r="C110" s="95" t="s">
        <v>1048</v>
      </c>
      <c r="D110" s="95">
        <v>43497</v>
      </c>
      <c r="E110" s="96">
        <v>43501</v>
      </c>
      <c r="F110" s="95">
        <v>43492</v>
      </c>
      <c r="G110" s="95">
        <v>43498</v>
      </c>
      <c r="H110" s="92">
        <v>1</v>
      </c>
    </row>
    <row r="111" spans="1:8">
      <c r="A111" s="93" t="s">
        <v>1031</v>
      </c>
      <c r="B111" s="94" t="s">
        <v>1032</v>
      </c>
      <c r="C111" s="95" t="s">
        <v>1048</v>
      </c>
      <c r="D111" s="95">
        <v>43497</v>
      </c>
      <c r="E111" s="96">
        <v>43501</v>
      </c>
      <c r="F111" s="95">
        <v>43499</v>
      </c>
      <c r="G111" s="95">
        <v>43505</v>
      </c>
      <c r="H111" s="92">
        <v>0</v>
      </c>
    </row>
    <row r="112" spans="1:8">
      <c r="A112" s="93" t="s">
        <v>1034</v>
      </c>
      <c r="B112" s="94" t="s">
        <v>1035</v>
      </c>
      <c r="C112" s="95" t="s">
        <v>1048</v>
      </c>
      <c r="D112" s="95">
        <v>43497</v>
      </c>
      <c r="E112" s="96">
        <v>43499</v>
      </c>
      <c r="F112" s="95">
        <v>43492</v>
      </c>
      <c r="G112" s="95">
        <v>43498</v>
      </c>
      <c r="H112" s="92">
        <v>1</v>
      </c>
    </row>
    <row r="113" spans="1:8">
      <c r="A113" s="93" t="s">
        <v>1034</v>
      </c>
      <c r="B113" s="94" t="s">
        <v>1035</v>
      </c>
      <c r="C113" s="95" t="s">
        <v>1048</v>
      </c>
      <c r="D113" s="95">
        <v>43497</v>
      </c>
      <c r="E113" s="96">
        <v>43499</v>
      </c>
      <c r="F113" s="95">
        <v>43499</v>
      </c>
      <c r="G113" s="95">
        <v>43505</v>
      </c>
      <c r="H113" s="92">
        <v>0</v>
      </c>
    </row>
    <row r="114" spans="1:8">
      <c r="A114" s="93" t="s">
        <v>1036</v>
      </c>
      <c r="B114" s="94" t="s">
        <v>1037</v>
      </c>
      <c r="C114" s="95" t="s">
        <v>1048</v>
      </c>
      <c r="D114" s="95">
        <v>43501</v>
      </c>
      <c r="E114" s="96">
        <v>43503</v>
      </c>
      <c r="F114" s="95">
        <v>43499</v>
      </c>
      <c r="G114" s="95">
        <v>43505</v>
      </c>
      <c r="H114" s="92">
        <v>0.5</v>
      </c>
    </row>
    <row r="115" spans="1:8">
      <c r="A115" s="93" t="s">
        <v>1036</v>
      </c>
      <c r="B115" s="94" t="s">
        <v>1037</v>
      </c>
      <c r="C115" s="95" t="s">
        <v>1047</v>
      </c>
      <c r="D115" s="95">
        <v>43501</v>
      </c>
      <c r="E115" s="96">
        <v>43503</v>
      </c>
      <c r="F115" s="95">
        <v>43499</v>
      </c>
      <c r="G115" s="95">
        <v>43505</v>
      </c>
      <c r="H115" s="92">
        <v>0.5</v>
      </c>
    </row>
    <row r="116" spans="1:8">
      <c r="A116" s="93" t="s">
        <v>1038</v>
      </c>
      <c r="B116" s="94" t="s">
        <v>1039</v>
      </c>
      <c r="C116" s="95" t="s">
        <v>1048</v>
      </c>
      <c r="D116" s="95">
        <v>43501</v>
      </c>
      <c r="E116" s="96">
        <v>43503</v>
      </c>
      <c r="F116" s="95">
        <v>43499</v>
      </c>
      <c r="G116" s="95">
        <v>43505</v>
      </c>
      <c r="H116" s="92">
        <v>0.5</v>
      </c>
    </row>
    <row r="117" spans="1:8">
      <c r="A117" s="93" t="s">
        <v>1038</v>
      </c>
      <c r="B117" s="94" t="s">
        <v>1039</v>
      </c>
      <c r="C117" s="95" t="s">
        <v>1049</v>
      </c>
      <c r="D117" s="95">
        <v>43501</v>
      </c>
      <c r="E117" s="96">
        <v>43503</v>
      </c>
      <c r="F117" s="95">
        <v>43499</v>
      </c>
      <c r="G117" s="95">
        <v>43505</v>
      </c>
      <c r="H117" s="92">
        <v>0.5</v>
      </c>
    </row>
    <row r="118" spans="1:8">
      <c r="A118" s="93" t="s">
        <v>1040</v>
      </c>
      <c r="B118" s="94" t="s">
        <v>1041</v>
      </c>
      <c r="C118" s="95" t="s">
        <v>1048</v>
      </c>
      <c r="D118" s="95">
        <v>43501</v>
      </c>
      <c r="E118" s="96">
        <v>43503</v>
      </c>
      <c r="F118" s="95">
        <v>43499</v>
      </c>
      <c r="G118" s="95">
        <v>43505</v>
      </c>
      <c r="H118" s="92">
        <v>0.5</v>
      </c>
    </row>
    <row r="119" spans="1:8">
      <c r="A119" s="93" t="s">
        <v>1040</v>
      </c>
      <c r="B119" s="94" t="s">
        <v>1041</v>
      </c>
      <c r="C119" s="95" t="s">
        <v>1049</v>
      </c>
      <c r="D119" s="95">
        <v>43501</v>
      </c>
      <c r="E119" s="96">
        <v>43503</v>
      </c>
      <c r="F119" s="95">
        <v>43499</v>
      </c>
      <c r="G119" s="95">
        <v>43505</v>
      </c>
      <c r="H119" s="92">
        <v>0.5</v>
      </c>
    </row>
    <row r="120" spans="1:8">
      <c r="A120" s="93" t="s">
        <v>1042</v>
      </c>
      <c r="B120" s="94" t="s">
        <v>1043</v>
      </c>
      <c r="C120" s="95" t="s">
        <v>1048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pageSetUpPr fitToPage="1"/>
  </sheetPr>
  <dimension ref="A1:FE207"/>
  <sheetViews>
    <sheetView tabSelected="1" zoomScale="115" zoomScaleNormal="115" zoomScalePageLayoutView="55" workbookViewId="0">
      <pane ySplit="4" topLeftCell="A29"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7.8984375" style="6" customWidth="1"/>
    <col min="12" max="12" width="25" style="6" bestFit="1"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9.3984375" style="8" customWidth="1"/>
    <col min="26" max="26" width="22.19921875" style="14" customWidth="1"/>
    <col min="27" max="27" width="7" style="15" customWidth="1"/>
    <col min="28" max="28" width="7.09765625" style="16" customWidth="1"/>
    <col min="29" max="161" width="1.8984375" style="114" customWidth="1"/>
    <col min="162" max="16384" width="10" style="114"/>
  </cols>
  <sheetData>
    <row r="1" spans="1:161" s="158" customFormat="1" ht="19.95" customHeight="1">
      <c r="A1" s="141"/>
      <c r="B1" s="151"/>
      <c r="C1" s="142"/>
      <c r="D1" s="143" t="str">
        <f ca="1">xlgantt.ProjectName()</f>
        <v>리듬타타키</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2019-02-18~2019-06-26 [계획:58.65% 실적:35.48%]</v>
      </c>
      <c r="AC1" s="269" t="s">
        <v>1086</v>
      </c>
      <c r="AD1" s="269"/>
      <c r="AE1" s="269"/>
      <c r="AF1" s="269"/>
      <c r="AG1" s="269"/>
      <c r="AH1" s="269"/>
      <c r="AI1" s="269"/>
      <c r="AJ1" s="269"/>
      <c r="AK1" s="269"/>
      <c r="AL1" s="269"/>
      <c r="AM1" s="269"/>
      <c r="AN1" s="269"/>
      <c r="AO1" s="269"/>
      <c r="AP1" s="269"/>
      <c r="AQ1" s="269"/>
      <c r="AR1" s="269"/>
      <c r="AS1" s="269"/>
      <c r="AT1" s="269"/>
      <c r="AU1" s="269"/>
      <c r="AV1" s="269"/>
      <c r="AW1" s="269"/>
      <c r="AX1" s="269"/>
      <c r="AY1" s="269"/>
      <c r="AZ1" s="269"/>
      <c r="BA1" s="269"/>
      <c r="BB1" s="269"/>
      <c r="BC1" s="269"/>
      <c r="BD1" s="269"/>
      <c r="BE1" s="269"/>
      <c r="BF1" s="269"/>
      <c r="BG1" s="269"/>
      <c r="BH1" s="269"/>
      <c r="BI1" s="269"/>
      <c r="BJ1" s="269"/>
      <c r="BK1" s="269"/>
      <c r="BL1" s="269"/>
      <c r="BM1" s="269"/>
      <c r="BN1" s="269"/>
      <c r="BO1" s="269"/>
      <c r="BP1" s="269"/>
      <c r="BQ1" s="269"/>
      <c r="BR1" s="269"/>
      <c r="BS1" s="269"/>
      <c r="BT1" s="269"/>
      <c r="BU1" s="269"/>
      <c r="BV1" s="269"/>
      <c r="BW1" s="269"/>
      <c r="BX1" s="269"/>
      <c r="BY1" s="269"/>
      <c r="BZ1" s="269"/>
      <c r="CA1" s="269"/>
    </row>
    <row r="2" spans="1:161" s="158" customFormat="1" ht="15" customHeight="1">
      <c r="A2" s="159"/>
      <c r="B2" s="159"/>
      <c r="C2" s="160"/>
      <c r="D2" s="255"/>
      <c r="E2" s="255"/>
      <c r="F2" s="255"/>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1101</v>
      </c>
    </row>
    <row r="3" spans="1:161" s="1" customFormat="1" ht="19.95" customHeight="1">
      <c r="A3" s="259" t="s">
        <v>1121</v>
      </c>
      <c r="B3" s="256" t="s">
        <v>1197</v>
      </c>
      <c r="C3" s="262" t="s">
        <v>1225</v>
      </c>
      <c r="D3" s="263" t="s">
        <v>1321</v>
      </c>
      <c r="E3" s="264" t="s">
        <v>1322</v>
      </c>
      <c r="F3" s="265"/>
      <c r="G3" s="265"/>
      <c r="H3" s="265"/>
      <c r="I3" s="265"/>
      <c r="J3" s="265"/>
      <c r="K3" s="266"/>
      <c r="L3" s="250" t="s">
        <v>1175</v>
      </c>
      <c r="M3" s="250" t="s">
        <v>1231</v>
      </c>
      <c r="N3" s="250" t="s">
        <v>1176</v>
      </c>
      <c r="O3" s="257" t="s">
        <v>1180</v>
      </c>
      <c r="P3" s="258" t="s">
        <v>1177</v>
      </c>
      <c r="Q3" s="258" t="s">
        <v>1199</v>
      </c>
      <c r="R3" s="258" t="s">
        <v>1323</v>
      </c>
      <c r="S3" s="258" t="s">
        <v>1173</v>
      </c>
      <c r="T3" s="249" t="s">
        <v>1181</v>
      </c>
      <c r="U3" s="249" t="s">
        <v>1324</v>
      </c>
      <c r="V3" s="251" t="s">
        <v>1325</v>
      </c>
      <c r="W3" s="252" t="s">
        <v>1326</v>
      </c>
      <c r="X3" s="253" t="s">
        <v>1232</v>
      </c>
      <c r="Y3" s="250" t="s">
        <v>1327</v>
      </c>
      <c r="Z3" s="256" t="s">
        <v>1174</v>
      </c>
      <c r="AA3" s="254" t="s">
        <v>1182</v>
      </c>
      <c r="AB3" s="248" t="s">
        <v>1328</v>
      </c>
      <c r="AC3" s="267">
        <v>43513</v>
      </c>
      <c r="AD3" s="268"/>
      <c r="AE3" s="268"/>
      <c r="AF3" s="268"/>
      <c r="AG3" s="268">
        <v>43541</v>
      </c>
      <c r="AH3" s="268"/>
      <c r="AI3" s="268"/>
      <c r="AJ3" s="268"/>
      <c r="AK3" s="268">
        <v>43569</v>
      </c>
      <c r="AL3" s="268"/>
      <c r="AM3" s="268"/>
      <c r="AN3" s="268"/>
      <c r="AO3" s="268">
        <v>43597</v>
      </c>
      <c r="AP3" s="268"/>
      <c r="AQ3" s="268"/>
      <c r="AR3" s="268"/>
      <c r="AS3" s="268">
        <v>43625</v>
      </c>
      <c r="AT3" s="268"/>
      <c r="AU3" s="268"/>
      <c r="AV3" s="270"/>
    </row>
    <row r="4" spans="1:161" s="2" customFormat="1" ht="4.95" customHeight="1">
      <c r="A4" s="260"/>
      <c r="B4" s="261"/>
      <c r="C4" s="259"/>
      <c r="D4" s="263"/>
      <c r="E4" s="264"/>
      <c r="F4" s="265"/>
      <c r="G4" s="265"/>
      <c r="H4" s="265"/>
      <c r="I4" s="265"/>
      <c r="J4" s="265"/>
      <c r="K4" s="266"/>
      <c r="L4" s="250"/>
      <c r="M4" s="250"/>
      <c r="N4" s="250"/>
      <c r="O4" s="257"/>
      <c r="P4" s="258"/>
      <c r="Q4" s="258"/>
      <c r="R4" s="258"/>
      <c r="S4" s="258"/>
      <c r="T4" s="250"/>
      <c r="U4" s="250"/>
      <c r="V4" s="251"/>
      <c r="W4" s="252"/>
      <c r="X4" s="253"/>
      <c r="Y4" s="250"/>
      <c r="Z4" s="256"/>
      <c r="AA4" s="254"/>
      <c r="AB4" s="248"/>
      <c r="AC4" s="112">
        <v>43513</v>
      </c>
      <c r="AD4" s="113">
        <v>43520</v>
      </c>
      <c r="AE4" s="113">
        <v>43527</v>
      </c>
      <c r="AF4" s="113">
        <v>43534</v>
      </c>
      <c r="AG4" s="113">
        <v>43541</v>
      </c>
      <c r="AH4" s="113">
        <v>43548</v>
      </c>
      <c r="AI4" s="113">
        <v>43555</v>
      </c>
      <c r="AJ4" s="113">
        <v>43562</v>
      </c>
      <c r="AK4" s="113">
        <v>43569</v>
      </c>
      <c r="AL4" s="113">
        <v>43576</v>
      </c>
      <c r="AM4" s="113">
        <v>43583</v>
      </c>
      <c r="AN4" s="113">
        <v>43590</v>
      </c>
      <c r="AO4" s="113">
        <v>43597</v>
      </c>
      <c r="AP4" s="113">
        <v>43604</v>
      </c>
      <c r="AQ4" s="113">
        <v>43611</v>
      </c>
      <c r="AR4" s="113">
        <v>43618</v>
      </c>
      <c r="AS4" s="113">
        <v>43625</v>
      </c>
      <c r="AT4" s="113">
        <v>43632</v>
      </c>
      <c r="AU4" s="113">
        <v>43639</v>
      </c>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row>
    <row r="5" spans="1:161">
      <c r="A5" s="116"/>
      <c r="B5" s="116" t="s">
        <v>1071</v>
      </c>
      <c r="C5" s="116">
        <v>1</v>
      </c>
      <c r="D5" s="3" t="s">
        <v>1072</v>
      </c>
      <c r="E5" s="184" t="s">
        <v>538</v>
      </c>
      <c r="F5" s="184"/>
      <c r="G5" s="184"/>
      <c r="H5" s="184"/>
      <c r="I5" s="184"/>
      <c r="J5" s="184"/>
      <c r="K5" s="184"/>
      <c r="L5" s="184"/>
      <c r="M5" s="185">
        <v>43514</v>
      </c>
      <c r="N5" s="185">
        <v>43642</v>
      </c>
      <c r="O5" s="186"/>
      <c r="P5" s="187">
        <v>27</v>
      </c>
      <c r="Q5" s="187">
        <v>19</v>
      </c>
      <c r="R5" s="188">
        <v>126</v>
      </c>
      <c r="S5" s="188">
        <v>24</v>
      </c>
      <c r="T5" s="185"/>
      <c r="U5" s="185"/>
      <c r="V5" s="189">
        <v>0</v>
      </c>
      <c r="W5" s="190">
        <v>0</v>
      </c>
      <c r="X5" s="191"/>
      <c r="Y5" s="186"/>
      <c r="Z5" s="192"/>
      <c r="AA5" s="97">
        <v>0.70370370370370372</v>
      </c>
      <c r="AB5" s="193">
        <v>0.70370370370370372</v>
      </c>
      <c r="AC5" s="123"/>
      <c r="AD5" s="4"/>
      <c r="AE5" s="4"/>
      <c r="AF5" s="4"/>
      <c r="AG5" s="4"/>
      <c r="AH5" s="4"/>
      <c r="AI5" s="4"/>
      <c r="AJ5" s="4"/>
      <c r="AK5" s="4"/>
      <c r="AL5" s="4"/>
      <c r="AM5" s="4"/>
      <c r="AN5" s="4"/>
      <c r="AO5" s="4"/>
      <c r="AP5" s="4" t="str">
        <f>" " &amp; TEXT(AB5,"#0.00%") &amp; " "</f>
        <v xml:space="preserve"> 70.37% </v>
      </c>
      <c r="AQ5" s="4"/>
      <c r="AR5" s="4"/>
      <c r="AS5" s="4"/>
      <c r="AT5" s="4"/>
      <c r="AU5" s="4" t="str">
        <f>"    " &amp; "프로젝트 관리" &amp; " " &amp; IF(M5="","",TEXT(M5,"M/D-")) &amp; IF(N5="","",TEXT(N5,"M/D")) &amp; " "</f>
        <v xml:space="preserve">    프로젝트 관리 2/18-6/26 </v>
      </c>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row>
    <row r="6" spans="1:161" outlineLevel="1">
      <c r="A6" s="116"/>
      <c r="B6" s="116" t="s">
        <v>1071</v>
      </c>
      <c r="C6" s="116">
        <v>2</v>
      </c>
      <c r="D6" s="3" t="s">
        <v>1073</v>
      </c>
      <c r="E6" s="184"/>
      <c r="F6" s="184" t="s">
        <v>913</v>
      </c>
      <c r="G6" s="184"/>
      <c r="H6" s="184"/>
      <c r="I6" s="184"/>
      <c r="J6" s="184"/>
      <c r="K6" s="184"/>
      <c r="L6" s="184"/>
      <c r="M6" s="185">
        <v>43514</v>
      </c>
      <c r="N6" s="185">
        <v>43532</v>
      </c>
      <c r="O6" s="186"/>
      <c r="P6" s="187">
        <v>19</v>
      </c>
      <c r="Q6" s="187">
        <v>19</v>
      </c>
      <c r="R6" s="188">
        <v>18</v>
      </c>
      <c r="S6" s="188">
        <v>18</v>
      </c>
      <c r="T6" s="185"/>
      <c r="U6" s="185"/>
      <c r="V6" s="189">
        <v>0</v>
      </c>
      <c r="W6" s="190">
        <v>0</v>
      </c>
      <c r="X6" s="191"/>
      <c r="Y6" s="186"/>
      <c r="Z6" s="192"/>
      <c r="AA6" s="97">
        <v>1</v>
      </c>
      <c r="AB6" s="193">
        <v>1</v>
      </c>
      <c r="AC6" s="123"/>
      <c r="AD6" s="4"/>
      <c r="AE6" s="4" t="str">
        <f>"      " &amp; TEXT(AB6,"#0.00%") &amp; " " &amp; "프로젝트 착수 및 계획수립" &amp; " " &amp; IF(M6="","",TEXT(M6,"M/D-")) &amp; IF(N6="","",TEXT(N6,"M/D")) &amp; " "</f>
        <v xml:space="preserve">      100.00% 프로젝트 착수 및 계획수립 2/18-3/8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row>
    <row r="7" spans="1:161" outlineLevel="2">
      <c r="A7" s="116"/>
      <c r="B7" s="116"/>
      <c r="C7" s="116">
        <v>3</v>
      </c>
      <c r="D7" s="3" t="s">
        <v>990</v>
      </c>
      <c r="E7" s="184"/>
      <c r="F7" s="184"/>
      <c r="G7" s="184" t="s">
        <v>0</v>
      </c>
      <c r="H7" s="184"/>
      <c r="I7" s="184"/>
      <c r="J7" s="184"/>
      <c r="K7" s="184"/>
      <c r="L7" s="184"/>
      <c r="M7" s="185">
        <v>43514</v>
      </c>
      <c r="N7" s="185">
        <v>43514</v>
      </c>
      <c r="O7" s="186"/>
      <c r="P7" s="187">
        <v>1</v>
      </c>
      <c r="Q7" s="187">
        <v>1</v>
      </c>
      <c r="R7" s="188">
        <v>1</v>
      </c>
      <c r="S7" s="188">
        <v>1</v>
      </c>
      <c r="T7" s="185">
        <v>43305</v>
      </c>
      <c r="U7" s="185">
        <v>43306</v>
      </c>
      <c r="V7" s="189">
        <v>2</v>
      </c>
      <c r="W7" s="190">
        <v>2</v>
      </c>
      <c r="X7" s="191">
        <v>1</v>
      </c>
      <c r="Y7" s="216" t="s">
        <v>1123</v>
      </c>
      <c r="Z7" s="192"/>
      <c r="AA7" s="97">
        <v>1</v>
      </c>
      <c r="AB7" s="193">
        <v>1</v>
      </c>
      <c r="AC7" s="123" t="str">
        <f>"  " &amp; TEXT(AB7,"#0.00%") &amp; " " &amp; "프로젝트 착수" &amp; "(김도형)" &amp; " " &amp; IF(M7="","",TEXT(M7,"M/D-")) &amp; IF(N7="","",TEXT(N7,"M/D")) &amp; " "</f>
        <v xml:space="preserve">  100.00% 프로젝트 착수(김도형) 2/18-2/18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row>
    <row r="8" spans="1:161" outlineLevel="2">
      <c r="A8" s="116"/>
      <c r="B8" s="116" t="s">
        <v>1071</v>
      </c>
      <c r="C8" s="116">
        <v>3</v>
      </c>
      <c r="D8" s="3" t="s">
        <v>1074</v>
      </c>
      <c r="E8" s="184"/>
      <c r="F8" s="184"/>
      <c r="G8" s="184" t="s">
        <v>914</v>
      </c>
      <c r="H8" s="184"/>
      <c r="I8" s="184"/>
      <c r="J8" s="184"/>
      <c r="K8" s="184"/>
      <c r="L8" s="184"/>
      <c r="M8" s="185">
        <v>43514</v>
      </c>
      <c r="N8" s="185">
        <v>43532</v>
      </c>
      <c r="O8" s="186"/>
      <c r="P8" s="187">
        <v>18</v>
      </c>
      <c r="Q8" s="187">
        <v>18</v>
      </c>
      <c r="R8" s="188">
        <v>18</v>
      </c>
      <c r="S8" s="188">
        <v>18</v>
      </c>
      <c r="T8" s="185"/>
      <c r="U8" s="185"/>
      <c r="V8" s="189">
        <v>0</v>
      </c>
      <c r="W8" s="190">
        <v>0</v>
      </c>
      <c r="X8" s="191"/>
      <c r="Y8" s="216" t="s">
        <v>1124</v>
      </c>
      <c r="Z8" s="192"/>
      <c r="AA8" s="97">
        <v>1</v>
      </c>
      <c r="AB8" s="193">
        <v>1</v>
      </c>
      <c r="AC8" s="123"/>
      <c r="AD8" s="4"/>
      <c r="AE8" s="4" t="str">
        <f>"      " &amp; TEXT(AB8,"#0.00%") &amp; " " &amp; "프로젝트 범위정의" &amp; "(전체)" &amp; " " &amp; IF(M8="","",TEXT(M8,"M/D-")) &amp; IF(N8="","",TEXT(N8,"M/D")) &amp; " "</f>
        <v xml:space="preserve">      100.00% 프로젝트 범위정의(전체) 2/18-3/8 </v>
      </c>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row>
    <row r="9" spans="1:161" outlineLevel="3">
      <c r="A9" s="116"/>
      <c r="B9" s="116"/>
      <c r="C9" s="116">
        <v>4</v>
      </c>
      <c r="D9" s="3" t="s">
        <v>449</v>
      </c>
      <c r="E9" s="184"/>
      <c r="F9" s="184"/>
      <c r="G9" s="184"/>
      <c r="H9" s="184" t="s">
        <v>427</v>
      </c>
      <c r="I9" s="184"/>
      <c r="J9" s="184"/>
      <c r="K9" s="184"/>
      <c r="L9" s="184"/>
      <c r="M9" s="185">
        <v>43514</v>
      </c>
      <c r="N9" s="185">
        <v>43532</v>
      </c>
      <c r="O9" s="186"/>
      <c r="P9" s="187">
        <v>18</v>
      </c>
      <c r="Q9" s="187">
        <v>18</v>
      </c>
      <c r="R9" s="188">
        <v>18</v>
      </c>
      <c r="S9" s="188">
        <v>18</v>
      </c>
      <c r="T9" s="185">
        <v>43309</v>
      </c>
      <c r="U9" s="185">
        <v>43315</v>
      </c>
      <c r="V9" s="189">
        <v>7</v>
      </c>
      <c r="W9" s="190">
        <v>7</v>
      </c>
      <c r="X9" s="191">
        <v>1</v>
      </c>
      <c r="Y9" s="216" t="s">
        <v>1123</v>
      </c>
      <c r="Z9" s="192" t="s">
        <v>1136</v>
      </c>
      <c r="AA9" s="97">
        <v>1</v>
      </c>
      <c r="AB9" s="193">
        <v>1</v>
      </c>
      <c r="AC9" s="123"/>
      <c r="AD9" s="4"/>
      <c r="AE9" s="4" t="str">
        <f>"      " &amp; TEXT(AB9,"#0.00%") &amp; " " &amp; "프로젝트 계획 수립" &amp; "(김도형)" &amp; " " &amp; IF(M9="","",TEXT(M9,"M/D-")) &amp; IF(N9="","",TEXT(N9,"M/D")) &amp; " "</f>
        <v xml:space="preserve">      100.00% 프로젝트 계획 수립(김도형) 2/18-3/8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row>
    <row r="10" spans="1:161" outlineLevel="3">
      <c r="A10" s="116"/>
      <c r="B10" s="116"/>
      <c r="C10" s="116">
        <v>0</v>
      </c>
      <c r="D10" s="3"/>
      <c r="E10" s="184"/>
      <c r="F10" s="184"/>
      <c r="G10" s="184"/>
      <c r="H10" s="184"/>
      <c r="I10" s="184"/>
      <c r="J10" s="184"/>
      <c r="K10" s="184"/>
      <c r="L10" s="184"/>
      <c r="M10" s="185"/>
      <c r="N10" s="185"/>
      <c r="O10" s="186"/>
      <c r="P10" s="187"/>
      <c r="Q10" s="187"/>
      <c r="R10" s="188">
        <v>0</v>
      </c>
      <c r="S10" s="188">
        <v>0</v>
      </c>
      <c r="T10" s="185"/>
      <c r="U10" s="185"/>
      <c r="V10" s="189"/>
      <c r="W10" s="190">
        <v>0</v>
      </c>
      <c r="X10" s="191"/>
      <c r="Y10" s="186"/>
      <c r="Z10" s="192"/>
      <c r="AA10" s="97"/>
      <c r="AB10" s="193"/>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row>
    <row r="11" spans="1:161" outlineLevel="1">
      <c r="A11" s="116"/>
      <c r="B11" s="116" t="s">
        <v>1071</v>
      </c>
      <c r="C11" s="116">
        <v>2</v>
      </c>
      <c r="D11" s="3" t="s">
        <v>1075</v>
      </c>
      <c r="E11" s="184"/>
      <c r="F11" s="184" t="s">
        <v>993</v>
      </c>
      <c r="G11" s="184"/>
      <c r="H11" s="184"/>
      <c r="I11" s="184"/>
      <c r="J11" s="184"/>
      <c r="K11" s="184"/>
      <c r="L11" s="184"/>
      <c r="M11" s="185">
        <v>43636</v>
      </c>
      <c r="N11" s="185">
        <v>43642</v>
      </c>
      <c r="O11" s="186"/>
      <c r="P11" s="187">
        <v>8</v>
      </c>
      <c r="Q11" s="187">
        <v>0</v>
      </c>
      <c r="R11" s="188">
        <v>7</v>
      </c>
      <c r="S11" s="188">
        <v>0</v>
      </c>
      <c r="T11" s="185"/>
      <c r="U11" s="185"/>
      <c r="V11" s="189">
        <v>0</v>
      </c>
      <c r="W11" s="190">
        <v>0</v>
      </c>
      <c r="X11" s="191"/>
      <c r="Y11" s="186"/>
      <c r="Z11" s="192"/>
      <c r="AA11" s="97">
        <v>0</v>
      </c>
      <c r="AB11" s="193">
        <v>0</v>
      </c>
      <c r="AC11" s="123"/>
      <c r="AD11" s="4"/>
      <c r="AE11" s="4"/>
      <c r="AF11" s="4"/>
      <c r="AG11" s="4"/>
      <c r="AH11" s="4"/>
      <c r="AI11" s="4"/>
      <c r="AJ11" s="4"/>
      <c r="AK11" s="4"/>
      <c r="AL11" s="4"/>
      <c r="AM11" s="4"/>
      <c r="AN11" s="4"/>
      <c r="AO11" s="4"/>
      <c r="AP11" s="4"/>
      <c r="AQ11" s="4"/>
      <c r="AR11" s="4"/>
      <c r="AS11" s="4"/>
      <c r="AT11" s="4" t="str">
        <f>"    " &amp; TEXT(AB11,"#0.00%") &amp; " " &amp; "프로젝트 종료" &amp; " " &amp; IF(M11="","",TEXT(M11,"M/D-")) &amp; IF(N11="","",TEXT(N11,"M/D")) &amp; " "</f>
        <v xml:space="preserve">    0.00% 프로젝트 종료 6/20-6/26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row>
    <row r="12" spans="1:161" outlineLevel="2">
      <c r="A12" s="116"/>
      <c r="B12" s="116"/>
      <c r="C12" s="116">
        <v>3</v>
      </c>
      <c r="D12" s="3" t="s">
        <v>431</v>
      </c>
      <c r="E12" s="184"/>
      <c r="F12" s="184"/>
      <c r="G12" s="184" t="s">
        <v>442</v>
      </c>
      <c r="H12" s="184"/>
      <c r="I12" s="184"/>
      <c r="J12" s="184"/>
      <c r="K12" s="184"/>
      <c r="L12" s="184"/>
      <c r="M12" s="185">
        <v>43636</v>
      </c>
      <c r="N12" s="185">
        <v>43641</v>
      </c>
      <c r="O12" s="186"/>
      <c r="P12" s="187">
        <v>6</v>
      </c>
      <c r="Q12" s="187">
        <v>0</v>
      </c>
      <c r="R12" s="188">
        <v>6</v>
      </c>
      <c r="S12" s="188">
        <v>0</v>
      </c>
      <c r="T12" s="185"/>
      <c r="U12" s="185"/>
      <c r="V12" s="189"/>
      <c r="W12" s="190">
        <v>0</v>
      </c>
      <c r="X12" s="191">
        <v>1</v>
      </c>
      <c r="Y12" s="216" t="s">
        <v>1123</v>
      </c>
      <c r="Z12" s="192"/>
      <c r="AA12" s="97">
        <v>0</v>
      </c>
      <c r="AB12" s="193">
        <v>0</v>
      </c>
      <c r="AC12" s="123"/>
      <c r="AD12" s="4"/>
      <c r="AE12" s="4"/>
      <c r="AF12" s="4"/>
      <c r="AG12" s="4"/>
      <c r="AH12" s="4"/>
      <c r="AI12" s="4"/>
      <c r="AJ12" s="4"/>
      <c r="AK12" s="4"/>
      <c r="AL12" s="4"/>
      <c r="AM12" s="4"/>
      <c r="AN12" s="4"/>
      <c r="AO12" s="4"/>
      <c r="AP12" s="4"/>
      <c r="AQ12" s="4"/>
      <c r="AR12" s="4"/>
      <c r="AS12" s="4"/>
      <c r="AT12" s="4" t="str">
        <f>"    " &amp; TEXT(AB12,"#0.00%") &amp; " " &amp; "종료계획수립" &amp; "(김도형)" &amp; " " &amp; IF(M12="","",TEXT(M12,"M/D-")) &amp; IF(N12="","",TEXT(N12,"M/D")) &amp; " "</f>
        <v xml:space="preserve">    0.00% 종료계획수립(김도형) 6/20-6/25 </v>
      </c>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row>
    <row r="13" spans="1:161" outlineLevel="2">
      <c r="A13" s="116"/>
      <c r="B13" s="116"/>
      <c r="C13" s="116">
        <v>3</v>
      </c>
      <c r="D13" s="3" t="s">
        <v>432</v>
      </c>
      <c r="E13" s="184"/>
      <c r="F13" s="184"/>
      <c r="G13" s="184" t="s">
        <v>444</v>
      </c>
      <c r="H13" s="184"/>
      <c r="I13" s="184"/>
      <c r="J13" s="184"/>
      <c r="K13" s="184"/>
      <c r="L13" s="184"/>
      <c r="M13" s="185">
        <v>43642</v>
      </c>
      <c r="N13" s="185">
        <v>43642</v>
      </c>
      <c r="O13" s="186"/>
      <c r="P13" s="187">
        <v>1</v>
      </c>
      <c r="Q13" s="187">
        <v>0</v>
      </c>
      <c r="R13" s="188">
        <v>1</v>
      </c>
      <c r="S13" s="188">
        <v>0</v>
      </c>
      <c r="T13" s="185"/>
      <c r="U13" s="185"/>
      <c r="V13" s="189"/>
      <c r="W13" s="190">
        <v>0</v>
      </c>
      <c r="X13" s="191">
        <v>1</v>
      </c>
      <c r="Y13" s="216" t="s">
        <v>1123</v>
      </c>
      <c r="Z13" s="192"/>
      <c r="AA13" s="97">
        <v>0</v>
      </c>
      <c r="AB13" s="193">
        <v>0</v>
      </c>
      <c r="AC13" s="123"/>
      <c r="AD13" s="4"/>
      <c r="AE13" s="4"/>
      <c r="AF13" s="4"/>
      <c r="AG13" s="4"/>
      <c r="AH13" s="4"/>
      <c r="AI13" s="4"/>
      <c r="AJ13" s="4"/>
      <c r="AK13" s="4"/>
      <c r="AL13" s="4"/>
      <c r="AM13" s="4"/>
      <c r="AN13" s="4"/>
      <c r="AO13" s="4"/>
      <c r="AP13" s="4"/>
      <c r="AQ13" s="4"/>
      <c r="AR13" s="4"/>
      <c r="AS13" s="4"/>
      <c r="AT13" s="4"/>
      <c r="AU13" s="4" t="str">
        <f>"   " &amp; TEXT(AB13,"#0.00%") &amp; " " &amp; "종료보고" &amp; "(김도형)" &amp; " " &amp; IF(M13="","",TEXT(M13,"M/D-")) &amp; IF(N13="","",TEXT(N13,"M/D")) &amp; " "</f>
        <v xml:space="preserve">   0.00% 종료보고(김도형) 6/26-6/26 </v>
      </c>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row>
    <row r="14" spans="1:161" outlineLevel="2">
      <c r="A14" s="116"/>
      <c r="B14" s="116"/>
      <c r="C14" s="116">
        <v>3</v>
      </c>
      <c r="D14" s="3" t="s">
        <v>433</v>
      </c>
      <c r="E14" s="184"/>
      <c r="F14" s="184"/>
      <c r="G14" s="184" t="s">
        <v>445</v>
      </c>
      <c r="H14" s="184"/>
      <c r="I14" s="184"/>
      <c r="J14" s="184"/>
      <c r="K14" s="184"/>
      <c r="L14" s="184"/>
      <c r="M14" s="185">
        <v>43642</v>
      </c>
      <c r="N14" s="185">
        <v>43642</v>
      </c>
      <c r="O14" s="186"/>
      <c r="P14" s="187">
        <v>1</v>
      </c>
      <c r="Q14" s="187">
        <v>0</v>
      </c>
      <c r="R14" s="188">
        <v>1</v>
      </c>
      <c r="S14" s="188">
        <v>0</v>
      </c>
      <c r="T14" s="185"/>
      <c r="U14" s="185"/>
      <c r="V14" s="189"/>
      <c r="W14" s="190">
        <v>0</v>
      </c>
      <c r="X14" s="191">
        <v>1</v>
      </c>
      <c r="Y14" s="216" t="s">
        <v>1123</v>
      </c>
      <c r="Z14" s="192"/>
      <c r="AA14" s="97">
        <v>0</v>
      </c>
      <c r="AB14" s="193">
        <v>0</v>
      </c>
      <c r="AC14" s="123"/>
      <c r="AD14" s="4"/>
      <c r="AE14" s="4"/>
      <c r="AF14" s="4"/>
      <c r="AG14" s="4"/>
      <c r="AH14" s="4"/>
      <c r="AI14" s="4"/>
      <c r="AJ14" s="4"/>
      <c r="AK14" s="4"/>
      <c r="AL14" s="4"/>
      <c r="AM14" s="4"/>
      <c r="AN14" s="4"/>
      <c r="AO14" s="4"/>
      <c r="AP14" s="4"/>
      <c r="AQ14" s="4"/>
      <c r="AR14" s="4"/>
      <c r="AS14" s="4"/>
      <c r="AT14" s="4"/>
      <c r="AU14" s="4" t="str">
        <f>"   " &amp; TEXT(AB14,"#0.00%") &amp; " " &amp; "검수 및 종료" &amp; "(김도형)" &amp; " " &amp; IF(M14="","",TEXT(M14,"M/D-")) &amp; IF(N14="","",TEXT(N14,"M/D")) &amp; " "</f>
        <v xml:space="preserve">   0.00% 검수 및 종료(김도형) 6/26-6/26 </v>
      </c>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row>
    <row r="15" spans="1:161" outlineLevel="2">
      <c r="A15" s="116"/>
      <c r="B15" s="116"/>
      <c r="C15" s="116">
        <v>0</v>
      </c>
      <c r="D15" s="3"/>
      <c r="E15" s="184"/>
      <c r="F15" s="184"/>
      <c r="G15" s="184"/>
      <c r="H15" s="184"/>
      <c r="I15" s="184"/>
      <c r="J15" s="184"/>
      <c r="K15" s="184"/>
      <c r="L15" s="184"/>
      <c r="M15" s="185"/>
      <c r="N15" s="185"/>
      <c r="O15" s="186"/>
      <c r="P15" s="187"/>
      <c r="Q15" s="187"/>
      <c r="R15" s="188">
        <v>0</v>
      </c>
      <c r="S15" s="188">
        <v>0</v>
      </c>
      <c r="T15" s="185"/>
      <c r="U15" s="185"/>
      <c r="V15" s="189"/>
      <c r="W15" s="190">
        <v>0</v>
      </c>
      <c r="X15" s="191"/>
      <c r="Y15" s="186"/>
      <c r="Z15" s="192"/>
      <c r="AA15" s="97"/>
      <c r="AB15" s="193"/>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row>
    <row r="16" spans="1:161">
      <c r="A16" s="116"/>
      <c r="B16" s="116" t="s">
        <v>1071</v>
      </c>
      <c r="C16" s="116">
        <v>1</v>
      </c>
      <c r="D16" s="3" t="s">
        <v>1076</v>
      </c>
      <c r="E16" s="184" t="s">
        <v>1002</v>
      </c>
      <c r="F16" s="184"/>
      <c r="G16" s="184"/>
      <c r="H16" s="184"/>
      <c r="I16" s="184"/>
      <c r="J16" s="184"/>
      <c r="K16" s="184"/>
      <c r="L16" s="184"/>
      <c r="M16" s="185">
        <v>43521</v>
      </c>
      <c r="N16" s="185">
        <v>43562</v>
      </c>
      <c r="O16" s="186"/>
      <c r="P16" s="187">
        <v>181</v>
      </c>
      <c r="Q16" s="187">
        <v>103</v>
      </c>
      <c r="R16" s="188">
        <v>41</v>
      </c>
      <c r="S16" s="188">
        <v>17</v>
      </c>
      <c r="T16" s="185"/>
      <c r="U16" s="185"/>
      <c r="V16" s="189">
        <v>0</v>
      </c>
      <c r="W16" s="190">
        <v>0</v>
      </c>
      <c r="X16" s="191"/>
      <c r="Y16" s="186"/>
      <c r="Z16" s="192"/>
      <c r="AA16" s="97">
        <v>0.56906077348066297</v>
      </c>
      <c r="AB16" s="193">
        <v>0.3027624309392265</v>
      </c>
      <c r="AC16" s="123"/>
      <c r="AD16" s="4"/>
      <c r="AE16" s="4"/>
      <c r="AF16" s="4" t="str">
        <f>"" &amp; TEXT(AB16,"#0.00%") &amp; " "</f>
        <v xml:space="preserve">30.28% </v>
      </c>
      <c r="AG16" s="4"/>
      <c r="AH16" s="4"/>
      <c r="AI16" s="4"/>
      <c r="AJ16" s="4" t="str">
        <f>" " &amp; "시스템 개발" &amp; " " &amp; IF(M16="","",TEXT(M16,"M/D-")) &amp; IF(N16="","",TEXT(N16,"M/D")) &amp; " "</f>
        <v xml:space="preserve"> 시스템 개발 2/25-4/7 </v>
      </c>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row>
    <row r="17" spans="1:161" outlineLevel="1">
      <c r="A17" s="116"/>
      <c r="B17" s="116" t="s">
        <v>1071</v>
      </c>
      <c r="C17" s="116">
        <v>2</v>
      </c>
      <c r="D17" s="3" t="s">
        <v>1077</v>
      </c>
      <c r="E17" s="184"/>
      <c r="F17" s="184" t="s">
        <v>1003</v>
      </c>
      <c r="G17" s="184"/>
      <c r="H17" s="184"/>
      <c r="I17" s="184"/>
      <c r="J17" s="184"/>
      <c r="K17" s="184"/>
      <c r="L17" s="184"/>
      <c r="M17" s="185">
        <v>43521</v>
      </c>
      <c r="N17" s="185">
        <v>43539</v>
      </c>
      <c r="O17" s="186"/>
      <c r="P17" s="187">
        <v>43</v>
      </c>
      <c r="Q17" s="187">
        <v>42</v>
      </c>
      <c r="R17" s="188">
        <v>18</v>
      </c>
      <c r="S17" s="188">
        <v>17</v>
      </c>
      <c r="T17" s="185"/>
      <c r="U17" s="185"/>
      <c r="V17" s="189">
        <v>0</v>
      </c>
      <c r="W17" s="190">
        <v>0</v>
      </c>
      <c r="X17" s="191"/>
      <c r="Y17" s="186"/>
      <c r="Z17" s="192"/>
      <c r="AA17" s="97">
        <v>0.97674418604651159</v>
      </c>
      <c r="AB17" s="193">
        <v>0.3</v>
      </c>
      <c r="AC17" s="123"/>
      <c r="AD17" s="4"/>
      <c r="AE17" s="4" t="str">
        <f>"" &amp; TEXT(AB17,"#0.00%") &amp; " " &amp; "분석" &amp; " " &amp; IF(M17="","",TEXT(M17,"M/D-")) &amp; IF(N17="","",TEXT(N17,"M/D")) &amp; " "</f>
        <v xml:space="preserve">30.00% 분석 2/25-3/15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row>
    <row r="18" spans="1:161" outlineLevel="2">
      <c r="A18" s="116"/>
      <c r="B18" s="116"/>
      <c r="C18" s="116">
        <v>3</v>
      </c>
      <c r="D18" s="3" t="s">
        <v>995</v>
      </c>
      <c r="E18" s="184"/>
      <c r="F18" s="184"/>
      <c r="G18" s="217" t="s">
        <v>1126</v>
      </c>
      <c r="H18" s="184"/>
      <c r="I18" s="184"/>
      <c r="J18" s="184"/>
      <c r="K18" s="184"/>
      <c r="L18" s="184"/>
      <c r="M18" s="185">
        <v>43521</v>
      </c>
      <c r="N18" s="185">
        <v>43523</v>
      </c>
      <c r="O18" s="186"/>
      <c r="P18" s="187">
        <v>3</v>
      </c>
      <c r="Q18" s="187">
        <v>3</v>
      </c>
      <c r="R18" s="188">
        <v>3</v>
      </c>
      <c r="S18" s="188">
        <v>3</v>
      </c>
      <c r="T18" s="185"/>
      <c r="U18" s="185"/>
      <c r="V18" s="189"/>
      <c r="W18" s="190">
        <v>0</v>
      </c>
      <c r="X18" s="191">
        <v>1</v>
      </c>
      <c r="Y18" s="216" t="s">
        <v>1123</v>
      </c>
      <c r="Z18" s="192" t="s">
        <v>1137</v>
      </c>
      <c r="AA18" s="97">
        <v>1</v>
      </c>
      <c r="AB18" s="193">
        <v>1</v>
      </c>
      <c r="AC18" s="123"/>
      <c r="AD18" s="4" t="str">
        <f>"    " &amp; TEXT(AB18,"#0.00%") &amp; " " &amp; "시장조사 및 벤치마킹" &amp; "(김도형)" &amp; " " &amp; IF(M18="","",TEXT(M18,"M/D-")) &amp; IF(N18="","",TEXT(N18,"M/D")) &amp; " "</f>
        <v xml:space="preserve">    100.00% 시장조사 및 벤치마킹(김도형) 2/25-2/27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row>
    <row r="19" spans="1:161" outlineLevel="2">
      <c r="A19" s="116"/>
      <c r="B19" s="116"/>
      <c r="C19" s="116">
        <v>3</v>
      </c>
      <c r="D19" s="3" t="s">
        <v>1078</v>
      </c>
      <c r="E19" s="184"/>
      <c r="F19" s="184"/>
      <c r="G19" s="217" t="s">
        <v>1127</v>
      </c>
      <c r="H19" s="184"/>
      <c r="I19" s="184"/>
      <c r="J19" s="184"/>
      <c r="K19" s="184"/>
      <c r="L19" s="184"/>
      <c r="M19" s="185">
        <v>43521</v>
      </c>
      <c r="N19" s="185">
        <v>43539</v>
      </c>
      <c r="O19" s="186"/>
      <c r="P19" s="187">
        <v>18</v>
      </c>
      <c r="Q19" s="187">
        <v>17</v>
      </c>
      <c r="R19" s="188">
        <v>18</v>
      </c>
      <c r="S19" s="188">
        <v>17</v>
      </c>
      <c r="T19" s="185"/>
      <c r="U19" s="185"/>
      <c r="V19" s="189"/>
      <c r="W19" s="190">
        <v>0</v>
      </c>
      <c r="X19" s="191">
        <v>1</v>
      </c>
      <c r="Y19" s="186" t="s">
        <v>1138</v>
      </c>
      <c r="Z19" s="192" t="s">
        <v>1139</v>
      </c>
      <c r="AA19" s="97">
        <v>0.94444444444444442</v>
      </c>
      <c r="AB19" s="193">
        <v>0</v>
      </c>
      <c r="AC19" s="123"/>
      <c r="AD19" s="4" t="str">
        <f>" " &amp; TEXT(AB19,"#0.00%") &amp; " " &amp; "컨텐츠 기획" &amp; "(김가연, 김보령)" &amp; " " &amp; IF(M19="","",TEXT(M19,"M/D-")) &amp; IF(N19="","",TEXT(N19,"M/D")) &amp; " "</f>
        <v xml:space="preserve"> 0.00% 컨텐츠 기획(김가연, 김보령) 2/25-3/15 </v>
      </c>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row>
    <row r="20" spans="1:161" outlineLevel="2">
      <c r="A20" s="116"/>
      <c r="B20" s="116" t="s">
        <v>1071</v>
      </c>
      <c r="C20" s="116">
        <v>3</v>
      </c>
      <c r="D20" s="3" t="s">
        <v>1150</v>
      </c>
      <c r="E20" s="184"/>
      <c r="F20" s="184"/>
      <c r="G20" s="184" t="s">
        <v>1004</v>
      </c>
      <c r="H20" s="184"/>
      <c r="I20" s="184"/>
      <c r="J20" s="184"/>
      <c r="K20" s="184"/>
      <c r="L20" s="184"/>
      <c r="M20" s="185">
        <v>43521</v>
      </c>
      <c r="N20" s="185">
        <v>43532</v>
      </c>
      <c r="O20" s="186"/>
      <c r="P20" s="187">
        <v>22</v>
      </c>
      <c r="Q20" s="187">
        <v>22</v>
      </c>
      <c r="R20" s="188">
        <v>11</v>
      </c>
      <c r="S20" s="188">
        <v>11</v>
      </c>
      <c r="T20" s="185"/>
      <c r="U20" s="185"/>
      <c r="V20" s="189">
        <v>0</v>
      </c>
      <c r="W20" s="190">
        <v>0</v>
      </c>
      <c r="X20" s="191"/>
      <c r="Y20" s="186"/>
      <c r="Z20" s="192"/>
      <c r="AA20" s="97">
        <v>1</v>
      </c>
      <c r="AB20" s="193">
        <v>0.45</v>
      </c>
      <c r="AC20" s="123"/>
      <c r="AD20" s="4" t="str">
        <f>"      " &amp; TEXT(AB20,"#0.00%") &amp; " " &amp; "논리모델구축" &amp; " " &amp; IF(M20="","",TEXT(M20,"M/D-")) &amp; IF(N20="","",TEXT(N20,"M/D")) &amp; " "</f>
        <v xml:space="preserve">      45.00% 논리모델구축 2/25-3/8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row>
    <row r="21" spans="1:161" outlineLevel="3">
      <c r="A21" s="116"/>
      <c r="B21" s="116"/>
      <c r="C21" s="116">
        <v>4</v>
      </c>
      <c r="D21" s="3" t="s">
        <v>1151</v>
      </c>
      <c r="E21" s="184"/>
      <c r="F21" s="184"/>
      <c r="G21" s="184"/>
      <c r="H21" s="184" t="s">
        <v>447</v>
      </c>
      <c r="I21" s="184"/>
      <c r="J21" s="184"/>
      <c r="K21" s="184"/>
      <c r="L21" s="184"/>
      <c r="M21" s="185">
        <v>43521</v>
      </c>
      <c r="N21" s="185">
        <v>43532</v>
      </c>
      <c r="O21" s="186"/>
      <c r="P21" s="187">
        <v>11</v>
      </c>
      <c r="Q21" s="187">
        <v>11</v>
      </c>
      <c r="R21" s="188">
        <v>11</v>
      </c>
      <c r="S21" s="188">
        <v>11</v>
      </c>
      <c r="T21" s="185">
        <v>43315</v>
      </c>
      <c r="U21" s="185">
        <v>43326</v>
      </c>
      <c r="V21" s="189">
        <v>12</v>
      </c>
      <c r="W21" s="190">
        <v>12</v>
      </c>
      <c r="X21" s="191">
        <v>1</v>
      </c>
      <c r="Y21" s="216" t="s">
        <v>1123</v>
      </c>
      <c r="Z21" s="192"/>
      <c r="AA21" s="97">
        <v>1</v>
      </c>
      <c r="AB21" s="193">
        <v>0.4</v>
      </c>
      <c r="AC21" s="123"/>
      <c r="AD21" s="4" t="str">
        <f>"      " &amp; TEXT(AB21,"#0.00%") &amp; " " &amp; "프로세스모델링" &amp; "(김도형)" &amp; " " &amp; IF(M21="","",TEXT(M21,"M/D-")) &amp; IF(N21="","",TEXT(N21,"M/D")) &amp; " "</f>
        <v xml:space="preserve">      40.00% 프로세스모델링(김도형) 2/25-3/8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row>
    <row r="22" spans="1:161" outlineLevel="3">
      <c r="A22" s="116"/>
      <c r="B22" s="116"/>
      <c r="C22" s="116">
        <v>4</v>
      </c>
      <c r="D22" s="3" t="s">
        <v>1152</v>
      </c>
      <c r="E22" s="184"/>
      <c r="F22" s="184"/>
      <c r="G22" s="184"/>
      <c r="H22" s="184" t="s">
        <v>448</v>
      </c>
      <c r="I22" s="184"/>
      <c r="J22" s="184"/>
      <c r="K22" s="184"/>
      <c r="L22" s="184"/>
      <c r="M22" s="185">
        <v>43521</v>
      </c>
      <c r="N22" s="185">
        <v>43532</v>
      </c>
      <c r="O22" s="186"/>
      <c r="P22" s="187">
        <v>11</v>
      </c>
      <c r="Q22" s="187">
        <v>11</v>
      </c>
      <c r="R22" s="188">
        <v>11</v>
      </c>
      <c r="S22" s="188">
        <v>11</v>
      </c>
      <c r="T22" s="185">
        <v>43315</v>
      </c>
      <c r="U22" s="185">
        <v>43326</v>
      </c>
      <c r="V22" s="189">
        <v>12</v>
      </c>
      <c r="W22" s="190">
        <v>12</v>
      </c>
      <c r="X22" s="191">
        <v>1</v>
      </c>
      <c r="Y22" s="216" t="s">
        <v>1125</v>
      </c>
      <c r="Z22" s="192"/>
      <c r="AA22" s="97">
        <v>1</v>
      </c>
      <c r="AB22" s="193">
        <v>0.5</v>
      </c>
      <c r="AC22" s="123"/>
      <c r="AD22" s="4"/>
      <c r="AE22" s="4" t="str">
        <f>"" &amp; TEXT(AB22,"#0.00%") &amp; " " &amp; "데이터모델링" &amp; "(류경호)" &amp; " " &amp; IF(M22="","",TEXT(M22,"M/D-")) &amp; IF(N22="","",TEXT(N22,"M/D")) &amp; " "</f>
        <v xml:space="preserve">50.00% 데이터모델링(류경호) 2/25-3/8 </v>
      </c>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row>
    <row r="23" spans="1:161" outlineLevel="1">
      <c r="A23" s="116"/>
      <c r="B23" s="116" t="s">
        <v>1071</v>
      </c>
      <c r="C23" s="116">
        <v>2</v>
      </c>
      <c r="D23" s="3" t="s">
        <v>1079</v>
      </c>
      <c r="E23" s="184"/>
      <c r="F23" s="184" t="s">
        <v>1005</v>
      </c>
      <c r="G23" s="184"/>
      <c r="H23" s="184"/>
      <c r="I23" s="184"/>
      <c r="J23" s="184"/>
      <c r="K23" s="184"/>
      <c r="L23" s="184"/>
      <c r="M23" s="185">
        <v>43528</v>
      </c>
      <c r="N23" s="185">
        <v>43539</v>
      </c>
      <c r="O23" s="186"/>
      <c r="P23" s="187">
        <v>52</v>
      </c>
      <c r="Q23" s="187">
        <v>50</v>
      </c>
      <c r="R23" s="188">
        <v>12</v>
      </c>
      <c r="S23" s="188">
        <v>11</v>
      </c>
      <c r="T23" s="185"/>
      <c r="U23" s="185"/>
      <c r="V23" s="189">
        <v>0</v>
      </c>
      <c r="W23" s="190">
        <v>0</v>
      </c>
      <c r="X23" s="191"/>
      <c r="Y23" s="186"/>
      <c r="Z23" s="192"/>
      <c r="AA23" s="97">
        <v>0.96153846153846156</v>
      </c>
      <c r="AB23" s="193">
        <v>0.63269230769230766</v>
      </c>
      <c r="AC23" s="123"/>
      <c r="AD23" s="4"/>
      <c r="AE23" s="4"/>
      <c r="AF23" s="4" t="str">
        <f>"  " &amp; TEXT(AB23,"#0.00%") &amp; " " &amp; "설계" &amp; " " &amp; IF(M23="","",TEXT(M23,"M/D-")) &amp; IF(N23="","",TEXT(N23,"M/D")) &amp; " "</f>
        <v xml:space="preserve">  63.27% 설계 3/4-3/15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row>
    <row r="24" spans="1:161" outlineLevel="2">
      <c r="A24" s="116"/>
      <c r="B24" s="116"/>
      <c r="C24" s="116">
        <v>3</v>
      </c>
      <c r="D24" s="3" t="s">
        <v>998</v>
      </c>
      <c r="E24" s="184"/>
      <c r="F24" s="184"/>
      <c r="G24" s="184" t="s">
        <v>1140</v>
      </c>
      <c r="H24" s="184"/>
      <c r="I24" s="184"/>
      <c r="J24" s="184"/>
      <c r="K24" s="184"/>
      <c r="L24" s="184"/>
      <c r="M24" s="185">
        <v>43528</v>
      </c>
      <c r="N24" s="185">
        <v>43539</v>
      </c>
      <c r="O24" s="186"/>
      <c r="P24" s="187">
        <v>12</v>
      </c>
      <c r="Q24" s="187">
        <v>11</v>
      </c>
      <c r="R24" s="188">
        <v>12</v>
      </c>
      <c r="S24" s="188">
        <v>11</v>
      </c>
      <c r="T24" s="185"/>
      <c r="U24" s="185"/>
      <c r="V24" s="189"/>
      <c r="W24" s="190">
        <v>0</v>
      </c>
      <c r="X24" s="191">
        <v>1</v>
      </c>
      <c r="Y24" s="216" t="s">
        <v>1172</v>
      </c>
      <c r="Z24" s="192"/>
      <c r="AA24" s="97">
        <v>0.91666666666666663</v>
      </c>
      <c r="AB24" s="193">
        <v>0.8</v>
      </c>
      <c r="AC24" s="123"/>
      <c r="AD24" s="4"/>
      <c r="AE24" s="4"/>
      <c r="AF24" s="4" t="str">
        <f>"    " &amp; TEXT(AB24,"#0.00%") &amp; " " &amp; "게임 화면 정의" &amp; "(김가연, 김도형)" &amp; " " &amp; IF(M24="","",TEXT(M24,"M/D-")) &amp; IF(N24="","",TEXT(N24,"M/D")) &amp; " "</f>
        <v xml:space="preserve">    80.00% 게임 화면 정의(김가연, 김도형) 3/4-3/15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row>
    <row r="25" spans="1:161" outlineLevel="2">
      <c r="A25" s="116"/>
      <c r="B25" s="116"/>
      <c r="C25" s="116">
        <v>3</v>
      </c>
      <c r="D25" s="3" t="s">
        <v>1080</v>
      </c>
      <c r="E25" s="184"/>
      <c r="F25" s="184"/>
      <c r="G25" s="184" t="s">
        <v>1141</v>
      </c>
      <c r="H25" s="184"/>
      <c r="I25" s="184"/>
      <c r="J25" s="184"/>
      <c r="K25" s="184"/>
      <c r="L25" s="184"/>
      <c r="M25" s="185">
        <v>43528</v>
      </c>
      <c r="N25" s="185">
        <v>43538</v>
      </c>
      <c r="O25" s="186"/>
      <c r="P25" s="187">
        <v>11</v>
      </c>
      <c r="Q25" s="187">
        <v>11</v>
      </c>
      <c r="R25" s="188">
        <v>11</v>
      </c>
      <c r="S25" s="188">
        <v>11</v>
      </c>
      <c r="T25" s="185">
        <v>43329</v>
      </c>
      <c r="U25" s="185"/>
      <c r="V25" s="189">
        <v>-43328</v>
      </c>
      <c r="W25" s="190">
        <v>0</v>
      </c>
      <c r="X25" s="191">
        <v>1</v>
      </c>
      <c r="Y25" s="216" t="s">
        <v>1128</v>
      </c>
      <c r="Z25" s="192" t="s">
        <v>1142</v>
      </c>
      <c r="AA25" s="97">
        <v>1</v>
      </c>
      <c r="AB25" s="193">
        <v>0.8</v>
      </c>
      <c r="AC25" s="123"/>
      <c r="AD25" s="4"/>
      <c r="AE25" s="4"/>
      <c r="AF25" s="4" t="str">
        <f>"   " &amp; TEXT(AB25,"#0.00%") &amp; " " &amp; "웹 화면 정의" &amp; "(김보령)" &amp; " " &amp; IF(M25="","",TEXT(M25,"M/D-")) &amp; IF(N25="","",TEXT(N25,"M/D")) &amp; " "</f>
        <v xml:space="preserve">   80.00% 웹 화면 정의(김보령) 3/4-3/14 </v>
      </c>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row>
    <row r="26" spans="1:161" outlineLevel="2">
      <c r="A26" s="116"/>
      <c r="B26" s="116"/>
      <c r="C26" s="116">
        <v>3</v>
      </c>
      <c r="D26" s="3" t="s">
        <v>999</v>
      </c>
      <c r="E26" s="184"/>
      <c r="F26" s="184"/>
      <c r="G26" s="184" t="s">
        <v>1143</v>
      </c>
      <c r="H26" s="184"/>
      <c r="I26" s="184"/>
      <c r="J26" s="184"/>
      <c r="K26" s="184"/>
      <c r="L26" s="184"/>
      <c r="M26" s="185">
        <v>43530</v>
      </c>
      <c r="N26" s="185">
        <v>43538</v>
      </c>
      <c r="O26" s="186"/>
      <c r="P26" s="187">
        <v>9</v>
      </c>
      <c r="Q26" s="187">
        <v>9</v>
      </c>
      <c r="R26" s="188">
        <v>9</v>
      </c>
      <c r="S26" s="188">
        <v>9</v>
      </c>
      <c r="T26" s="185"/>
      <c r="U26" s="185"/>
      <c r="V26" s="189"/>
      <c r="W26" s="190">
        <v>0</v>
      </c>
      <c r="X26" s="191">
        <v>1</v>
      </c>
      <c r="Y26" s="216" t="s">
        <v>1123</v>
      </c>
      <c r="Z26" s="192" t="s">
        <v>1144</v>
      </c>
      <c r="AA26" s="97">
        <v>1</v>
      </c>
      <c r="AB26" s="193">
        <v>0.5</v>
      </c>
      <c r="AC26" s="123"/>
      <c r="AD26" s="4"/>
      <c r="AE26" s="4"/>
      <c r="AF26" s="4" t="str">
        <f>" " &amp; TEXT(AB26,"#0.00%") &amp; " " &amp; "개발 단계 및 일정 설계" &amp; "(김도형)" &amp; " " &amp; IF(M26="","",TEXT(M26,"M/D-")) &amp; IF(N26="","",TEXT(N26,"M/D")) &amp; " "</f>
        <v xml:space="preserve"> 50.00% 개발 단계 및 일정 설계(김도형) 3/6-3/14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row>
    <row r="27" spans="1:161" outlineLevel="2">
      <c r="A27" s="116"/>
      <c r="B27" s="116" t="s">
        <v>1071</v>
      </c>
      <c r="C27" s="116">
        <v>3</v>
      </c>
      <c r="D27" s="3" t="s">
        <v>1153</v>
      </c>
      <c r="E27" s="184"/>
      <c r="F27" s="184"/>
      <c r="G27" s="184" t="s">
        <v>1007</v>
      </c>
      <c r="H27" s="184"/>
      <c r="I27" s="184"/>
      <c r="J27" s="184"/>
      <c r="K27" s="184"/>
      <c r="L27" s="184"/>
      <c r="M27" s="185">
        <v>43528</v>
      </c>
      <c r="N27" s="185">
        <v>43539</v>
      </c>
      <c r="O27" s="186"/>
      <c r="P27" s="187">
        <v>20</v>
      </c>
      <c r="Q27" s="187">
        <v>19</v>
      </c>
      <c r="R27" s="188">
        <v>12</v>
      </c>
      <c r="S27" s="188">
        <v>11</v>
      </c>
      <c r="T27" s="185"/>
      <c r="U27" s="185"/>
      <c r="V27" s="189">
        <v>0</v>
      </c>
      <c r="W27" s="190">
        <v>0</v>
      </c>
      <c r="X27" s="191"/>
      <c r="Y27" s="186"/>
      <c r="Z27" s="192"/>
      <c r="AA27" s="97">
        <v>0.95</v>
      </c>
      <c r="AB27" s="193">
        <v>0.5</v>
      </c>
      <c r="AC27" s="123"/>
      <c r="AD27" s="4"/>
      <c r="AE27" s="4"/>
      <c r="AF27" s="4" t="str">
        <f>"" &amp; TEXT(AB27,"#0.00%") &amp; " " &amp; "시스템 설계" &amp; " " &amp; IF(M27="","",TEXT(M27,"M/D-")) &amp; IF(N27="","",TEXT(N27,"M/D")) &amp; " "</f>
        <v xml:space="preserve">50.00% 시스템 설계 3/4-3/15 </v>
      </c>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row>
    <row r="28" spans="1:161" outlineLevel="3">
      <c r="A28" s="116"/>
      <c r="B28" s="116"/>
      <c r="C28" s="116">
        <v>4</v>
      </c>
      <c r="D28" s="3" t="s">
        <v>1154</v>
      </c>
      <c r="E28" s="184"/>
      <c r="F28" s="184"/>
      <c r="G28" s="184"/>
      <c r="H28" s="184" t="s">
        <v>1145</v>
      </c>
      <c r="I28" s="184"/>
      <c r="J28" s="184"/>
      <c r="K28" s="184"/>
      <c r="L28" s="184"/>
      <c r="M28" s="185">
        <v>43528</v>
      </c>
      <c r="N28" s="185">
        <v>43535</v>
      </c>
      <c r="O28" s="186"/>
      <c r="P28" s="187">
        <v>8</v>
      </c>
      <c r="Q28" s="187">
        <v>8</v>
      </c>
      <c r="R28" s="188">
        <v>8</v>
      </c>
      <c r="S28" s="188">
        <v>8</v>
      </c>
      <c r="T28" s="185"/>
      <c r="U28" s="185"/>
      <c r="V28" s="189"/>
      <c r="W28" s="190">
        <v>0</v>
      </c>
      <c r="X28" s="191">
        <v>1</v>
      </c>
      <c r="Y28" s="216" t="s">
        <v>1125</v>
      </c>
      <c r="Z28" s="192" t="s">
        <v>1146</v>
      </c>
      <c r="AA28" s="97">
        <v>1</v>
      </c>
      <c r="AB28" s="193">
        <v>0.5</v>
      </c>
      <c r="AC28" s="123"/>
      <c r="AD28" s="4"/>
      <c r="AE28" s="4" t="str">
        <f>"     " &amp; TEXT(AB28,"#0.00%") &amp; " " &amp; "DB설계" &amp; "(류경호)" &amp; " " &amp; IF(M28="","",TEXT(M28,"M/D-")) &amp; IF(N28="","",TEXT(N28,"M/D")) &amp; " "</f>
        <v xml:space="preserve">     50.00% DB설계(류경호) 3/4-3/11 </v>
      </c>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row>
    <row r="29" spans="1:161" outlineLevel="3">
      <c r="A29" s="116"/>
      <c r="B29" s="116"/>
      <c r="C29" s="116">
        <v>4</v>
      </c>
      <c r="D29" s="3" t="s">
        <v>1155</v>
      </c>
      <c r="E29" s="184"/>
      <c r="F29" s="184"/>
      <c r="G29" s="184"/>
      <c r="H29" s="184" t="s">
        <v>1013</v>
      </c>
      <c r="I29" s="184"/>
      <c r="J29" s="184"/>
      <c r="K29" s="184"/>
      <c r="L29" s="184"/>
      <c r="M29" s="185">
        <v>43528</v>
      </c>
      <c r="N29" s="185">
        <v>43539</v>
      </c>
      <c r="O29" s="186"/>
      <c r="P29" s="187">
        <v>12</v>
      </c>
      <c r="Q29" s="187">
        <v>11</v>
      </c>
      <c r="R29" s="188">
        <v>12</v>
      </c>
      <c r="S29" s="188">
        <v>11</v>
      </c>
      <c r="T29" s="185"/>
      <c r="U29" s="185"/>
      <c r="V29" s="189"/>
      <c r="W29" s="190">
        <v>0</v>
      </c>
      <c r="X29" s="191">
        <v>1</v>
      </c>
      <c r="Y29" s="216" t="s">
        <v>1130</v>
      </c>
      <c r="Z29" s="192" t="s">
        <v>1147</v>
      </c>
      <c r="AA29" s="97">
        <v>0.91666666666666663</v>
      </c>
      <c r="AB29" s="193">
        <v>0.5</v>
      </c>
      <c r="AC29" s="123"/>
      <c r="AD29" s="4"/>
      <c r="AE29" s="4"/>
      <c r="AF29" s="4" t="str">
        <f>"" &amp; TEXT(AB29,"#0.00%") &amp; " " &amp; "프로그램설계" &amp; "(김도형, 김가연, 김보령)" &amp; " " &amp; IF(M29="","",TEXT(M29,"M/D-")) &amp; IF(N29="","",TEXT(N29,"M/D")) &amp; " "</f>
        <v xml:space="preserve">50.00% 프로그램설계(김도형, 김가연, 김보령) 3/4-3/15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row>
    <row r="30" spans="1:161" outlineLevel="3">
      <c r="A30" s="116"/>
      <c r="B30" s="116"/>
      <c r="C30" s="116">
        <v>0</v>
      </c>
      <c r="D30" s="3"/>
      <c r="E30" s="184"/>
      <c r="F30" s="184"/>
      <c r="G30" s="184"/>
      <c r="H30" s="184"/>
      <c r="I30" s="184"/>
      <c r="J30" s="184"/>
      <c r="K30" s="184"/>
      <c r="L30" s="184"/>
      <c r="M30" s="185"/>
      <c r="N30" s="185"/>
      <c r="O30" s="186"/>
      <c r="P30" s="187"/>
      <c r="Q30" s="187"/>
      <c r="R30" s="188">
        <v>0</v>
      </c>
      <c r="S30" s="188">
        <v>0</v>
      </c>
      <c r="T30" s="185"/>
      <c r="U30" s="185"/>
      <c r="V30" s="189"/>
      <c r="W30" s="190">
        <v>0</v>
      </c>
      <c r="X30" s="191"/>
      <c r="Y30" s="216"/>
      <c r="Z30" s="192"/>
      <c r="AA30" s="97"/>
      <c r="AB30" s="193"/>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row>
    <row r="31" spans="1:161" outlineLevel="1">
      <c r="A31" s="116"/>
      <c r="B31" s="116" t="s">
        <v>1071</v>
      </c>
      <c r="C31" s="116">
        <v>2</v>
      </c>
      <c r="D31" s="3" t="s">
        <v>1081</v>
      </c>
      <c r="E31" s="184"/>
      <c r="F31" s="217" t="s">
        <v>1033</v>
      </c>
      <c r="G31" s="184"/>
      <c r="H31" s="184"/>
      <c r="I31" s="184"/>
      <c r="J31" s="184"/>
      <c r="K31" s="184"/>
      <c r="L31" s="184"/>
      <c r="M31" s="185">
        <v>43535</v>
      </c>
      <c r="N31" s="185">
        <v>43562</v>
      </c>
      <c r="O31" s="186"/>
      <c r="P31" s="187">
        <v>86</v>
      </c>
      <c r="Q31" s="187">
        <v>11</v>
      </c>
      <c r="R31" s="188">
        <v>28</v>
      </c>
      <c r="S31" s="188">
        <v>4</v>
      </c>
      <c r="T31" s="185"/>
      <c r="U31" s="185"/>
      <c r="V31" s="189">
        <v>0</v>
      </c>
      <c r="W31" s="190">
        <v>0</v>
      </c>
      <c r="X31" s="191"/>
      <c r="Y31" s="186"/>
      <c r="Z31" s="192"/>
      <c r="AA31" s="97">
        <v>0.12790697674418605</v>
      </c>
      <c r="AB31" s="193">
        <v>0.10465116279069768</v>
      </c>
      <c r="AC31" s="123"/>
      <c r="AD31" s="4"/>
      <c r="AE31" s="4"/>
      <c r="AF31" s="4" t="str">
        <f>"    " &amp; TEXT(AB31,"#0.00%") &amp; " "</f>
        <v xml:space="preserve">    10.47% </v>
      </c>
      <c r="AG31" s="4"/>
      <c r="AH31" s="4"/>
      <c r="AI31" s="4"/>
      <c r="AJ31" s="4" t="str">
        <f>" " &amp; "구현" &amp; " " &amp; IF(M31="","",TEXT(M31,"M/D-")) &amp; IF(N31="","",TEXT(N31,"M/D")) &amp; " "</f>
        <v xml:space="preserve"> 구현 3/11-4/7 </v>
      </c>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row>
    <row r="32" spans="1:161" outlineLevel="2">
      <c r="A32" s="116"/>
      <c r="B32" s="116" t="s">
        <v>1071</v>
      </c>
      <c r="C32" s="116">
        <v>3</v>
      </c>
      <c r="D32" s="3" t="s">
        <v>1082</v>
      </c>
      <c r="E32" s="184"/>
      <c r="F32" s="184"/>
      <c r="G32" s="184" t="s">
        <v>1148</v>
      </c>
      <c r="H32" s="184"/>
      <c r="I32" s="184"/>
      <c r="J32" s="184"/>
      <c r="K32" s="184"/>
      <c r="L32" s="184"/>
      <c r="M32" s="185">
        <v>43535</v>
      </c>
      <c r="N32" s="185">
        <v>43562</v>
      </c>
      <c r="O32" s="186"/>
      <c r="P32" s="187">
        <v>86</v>
      </c>
      <c r="Q32" s="187">
        <v>11</v>
      </c>
      <c r="R32" s="188">
        <v>28</v>
      </c>
      <c r="S32" s="188">
        <v>4</v>
      </c>
      <c r="T32" s="185"/>
      <c r="U32" s="185"/>
      <c r="V32" s="189">
        <v>0</v>
      </c>
      <c r="W32" s="190">
        <v>0</v>
      </c>
      <c r="X32" s="191"/>
      <c r="Y32" s="186"/>
      <c r="Z32" s="218" t="s">
        <v>1131</v>
      </c>
      <c r="AA32" s="97">
        <v>0.12790697674418605</v>
      </c>
      <c r="AB32" s="193">
        <v>0.10465116279069768</v>
      </c>
      <c r="AC32" s="123"/>
      <c r="AD32" s="4"/>
      <c r="AE32" s="4"/>
      <c r="AF32" s="4" t="str">
        <f>"    " &amp; TEXT(AB32,"#0.00%") &amp; " "</f>
        <v xml:space="preserve">    10.47% </v>
      </c>
      <c r="AG32" s="4"/>
      <c r="AH32" s="4"/>
      <c r="AI32" s="4"/>
      <c r="AJ32" s="4" t="str">
        <f>" " &amp; "프로토타입 개발" &amp; " " &amp; IF(M32="","",TEXT(M32,"M/D-")) &amp; IF(N32="","",TEXT(N32,"M/D")) &amp; " "</f>
        <v xml:space="preserve"> 프로토타입 개발 3/11-4/7 </v>
      </c>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row>
    <row r="33" spans="1:161" outlineLevel="3">
      <c r="A33" s="116"/>
      <c r="B33" s="116" t="s">
        <v>1071</v>
      </c>
      <c r="C33" s="116">
        <v>4</v>
      </c>
      <c r="D33" s="219" t="s">
        <v>1015</v>
      </c>
      <c r="E33" s="220"/>
      <c r="F33" s="220"/>
      <c r="G33" s="220"/>
      <c r="H33" s="221" t="s">
        <v>1158</v>
      </c>
      <c r="I33" s="221"/>
      <c r="J33" s="220"/>
      <c r="K33" s="220"/>
      <c r="L33" s="220"/>
      <c r="M33" s="222">
        <v>43535</v>
      </c>
      <c r="N33" s="222">
        <v>43551</v>
      </c>
      <c r="O33" s="223"/>
      <c r="P33" s="224">
        <v>20</v>
      </c>
      <c r="Q33" s="224">
        <v>6</v>
      </c>
      <c r="R33" s="225">
        <v>17</v>
      </c>
      <c r="S33" s="225">
        <v>4</v>
      </c>
      <c r="T33" s="222"/>
      <c r="U33" s="222"/>
      <c r="V33" s="226">
        <v>0</v>
      </c>
      <c r="W33" s="227">
        <v>0</v>
      </c>
      <c r="X33" s="228"/>
      <c r="Y33" s="223"/>
      <c r="Z33" s="229"/>
      <c r="AA33" s="230">
        <v>0.3</v>
      </c>
      <c r="AB33" s="231">
        <v>0.3</v>
      </c>
      <c r="AC33" s="123"/>
      <c r="AD33" s="4"/>
      <c r="AE33" s="4"/>
      <c r="AF33" s="4" t="str">
        <f>"      " &amp; TEXT(AB33,"#0.00%") &amp; " " &amp; "아두이노" &amp; " " &amp; IF(M33="","",TEXT(M33,"M/D-")) &amp; IF(N33="","",TEXT(N33,"M/D")) &amp; " "</f>
        <v xml:space="preserve">      30.00% 아두이노 3/11-3/27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row>
    <row r="34" spans="1:161" outlineLevel="4">
      <c r="A34" s="116"/>
      <c r="B34" s="116"/>
      <c r="C34" s="116">
        <v>5</v>
      </c>
      <c r="D34" s="3" t="s">
        <v>1160</v>
      </c>
      <c r="E34" s="184"/>
      <c r="F34" s="184"/>
      <c r="G34" s="184"/>
      <c r="H34" s="184"/>
      <c r="I34" s="184" t="s">
        <v>1133</v>
      </c>
      <c r="J34" s="184"/>
      <c r="K34" s="184"/>
      <c r="L34" s="184"/>
      <c r="M34" s="185">
        <v>43535</v>
      </c>
      <c r="N34" s="185">
        <v>43535</v>
      </c>
      <c r="O34" s="186"/>
      <c r="P34" s="187">
        <v>1</v>
      </c>
      <c r="Q34" s="187">
        <v>1</v>
      </c>
      <c r="R34" s="188">
        <v>1</v>
      </c>
      <c r="S34" s="188">
        <v>1</v>
      </c>
      <c r="T34" s="185"/>
      <c r="U34" s="185"/>
      <c r="V34" s="189"/>
      <c r="W34" s="190">
        <v>0</v>
      </c>
      <c r="X34" s="191">
        <v>1</v>
      </c>
      <c r="Y34" s="216" t="s">
        <v>1132</v>
      </c>
      <c r="Z34" s="192"/>
      <c r="AA34" s="97">
        <v>1</v>
      </c>
      <c r="AB34" s="193">
        <v>1</v>
      </c>
      <c r="AC34" s="123"/>
      <c r="AD34" s="4"/>
      <c r="AE34" s="4"/>
      <c r="AF34" s="4" t="str">
        <f>"  " &amp; TEXT(AB34,"#0.00%") &amp; " " &amp; "아두이노 센서 값 컨트롤" &amp; "(송주헌)" &amp; " " &amp; IF(M34="","",TEXT(M34,"M/D-")) &amp; IF(N34="","",TEXT(N34,"M/D")) &amp; " "</f>
        <v xml:space="preserve">  100.00% 아두이노 센서 값 컨트롤(송주헌) 3/11-3/11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row>
    <row r="35" spans="1:161" outlineLevel="4">
      <c r="A35" s="116"/>
      <c r="B35" s="116"/>
      <c r="C35" s="116">
        <v>5</v>
      </c>
      <c r="D35" s="3" t="s">
        <v>1161</v>
      </c>
      <c r="E35" s="184"/>
      <c r="F35" s="184"/>
      <c r="G35" s="184"/>
      <c r="H35" s="184"/>
      <c r="I35" s="184" t="s">
        <v>1134</v>
      </c>
      <c r="J35" s="184"/>
      <c r="K35" s="184"/>
      <c r="L35" s="184"/>
      <c r="M35" s="185">
        <v>43536</v>
      </c>
      <c r="N35" s="185">
        <v>43537</v>
      </c>
      <c r="O35" s="186"/>
      <c r="P35" s="187">
        <v>2</v>
      </c>
      <c r="Q35" s="187">
        <v>2</v>
      </c>
      <c r="R35" s="188">
        <v>2</v>
      </c>
      <c r="S35" s="188">
        <v>2</v>
      </c>
      <c r="T35" s="185"/>
      <c r="U35" s="185"/>
      <c r="V35" s="189"/>
      <c r="W35" s="190">
        <v>0</v>
      </c>
      <c r="X35" s="191">
        <v>1</v>
      </c>
      <c r="Y35" s="216" t="s">
        <v>1132</v>
      </c>
      <c r="Z35" s="192"/>
      <c r="AA35" s="97">
        <v>1</v>
      </c>
      <c r="AB35" s="193">
        <v>1</v>
      </c>
      <c r="AC35" s="123"/>
      <c r="AD35" s="4"/>
      <c r="AE35" s="4"/>
      <c r="AF35" s="4" t="str">
        <f>"    " &amp; TEXT(AB35,"#0.00%") &amp; " " &amp; "아두이노 블루투스 통신 확인" &amp; "(송주헌)" &amp; " " &amp; IF(M35="","",TEXT(M35,"M/D-")) &amp; IF(N35="","",TEXT(N35,"M/D")) &amp; " "</f>
        <v xml:space="preserve">    100.00% 아두이노 블루투스 통신 확인(송주헌) 3/12-3/13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row>
    <row r="36" spans="1:161" outlineLevel="4">
      <c r="A36" s="116"/>
      <c r="B36" s="116"/>
      <c r="C36" s="116">
        <v>5</v>
      </c>
      <c r="D36" s="3" t="s">
        <v>1162</v>
      </c>
      <c r="E36" s="184"/>
      <c r="F36" s="184"/>
      <c r="G36" s="184"/>
      <c r="H36" s="184"/>
      <c r="I36" s="184" t="s">
        <v>1135</v>
      </c>
      <c r="J36" s="184"/>
      <c r="K36" s="184"/>
      <c r="L36" s="184"/>
      <c r="M36" s="185">
        <v>43537</v>
      </c>
      <c r="N36" s="185">
        <v>43539</v>
      </c>
      <c r="O36" s="186"/>
      <c r="P36" s="187">
        <v>3</v>
      </c>
      <c r="Q36" s="187">
        <v>2</v>
      </c>
      <c r="R36" s="188">
        <v>3</v>
      </c>
      <c r="S36" s="188">
        <v>2</v>
      </c>
      <c r="T36" s="185"/>
      <c r="U36" s="185"/>
      <c r="V36" s="189"/>
      <c r="W36" s="190">
        <v>0</v>
      </c>
      <c r="X36" s="191">
        <v>1</v>
      </c>
      <c r="Y36" s="216" t="s">
        <v>1132</v>
      </c>
      <c r="Z36" s="192"/>
      <c r="AA36" s="97">
        <v>0.66666666666666663</v>
      </c>
      <c r="AB36" s="193">
        <v>1</v>
      </c>
      <c r="AC36" s="123"/>
      <c r="AD36" s="4"/>
      <c r="AE36" s="4"/>
      <c r="AF36" s="4" t="str">
        <f>"      " &amp; TEXT(AB36,"#0.00%") &amp; " " &amp; "아두이노 센서 값 블루투스로 통신 및 레이턴시 확인" &amp; "(송주헌)" &amp; " " &amp; IF(M36="","",TEXT(M36,"M/D-")) &amp; IF(N36="","",TEXT(N36,"M/D")) &amp; " "</f>
        <v xml:space="preserve">      100.00% 아두이노 센서 값 블루투스로 통신 및 레이턴시 확인(송주헌) 3/13-3/15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row>
    <row r="37" spans="1:161" outlineLevel="4">
      <c r="A37" s="116"/>
      <c r="B37" s="116"/>
      <c r="C37" s="116">
        <v>5</v>
      </c>
      <c r="D37" s="3" t="s">
        <v>1163</v>
      </c>
      <c r="E37" s="184"/>
      <c r="F37" s="184"/>
      <c r="G37" s="184"/>
      <c r="H37" s="184"/>
      <c r="I37" s="184" t="s">
        <v>1178</v>
      </c>
      <c r="J37" s="184"/>
      <c r="K37" s="184"/>
      <c r="L37" s="184"/>
      <c r="M37" s="185">
        <v>43538</v>
      </c>
      <c r="N37" s="185">
        <v>43540</v>
      </c>
      <c r="O37" s="186"/>
      <c r="P37" s="187">
        <v>3</v>
      </c>
      <c r="Q37" s="187">
        <v>1</v>
      </c>
      <c r="R37" s="188">
        <v>3</v>
      </c>
      <c r="S37" s="188">
        <v>1</v>
      </c>
      <c r="T37" s="185"/>
      <c r="U37" s="185"/>
      <c r="V37" s="189"/>
      <c r="W37" s="190">
        <v>0</v>
      </c>
      <c r="X37" s="191">
        <v>1</v>
      </c>
      <c r="Y37" s="216" t="s">
        <v>1179</v>
      </c>
      <c r="Z37" s="192"/>
      <c r="AA37" s="97">
        <v>0.33333333333333331</v>
      </c>
      <c r="AB37" s="193">
        <v>0</v>
      </c>
      <c r="AC37" s="123"/>
      <c r="AD37" s="4"/>
      <c r="AE37" s="4"/>
      <c r="AF37" s="4" t="str">
        <f>"    " &amp; TEXT(AB37,"#0.00%") &amp; " " &amp; "아두이노 센서 값과 Unity 블루투스 시리얼 통신" &amp; "(김도형, 송주헌)" &amp; " " &amp; IF(M37="","",TEXT(M37,"M/D-")) &amp; IF(N37="","",TEXT(N37,"M/D")) &amp; " "</f>
        <v xml:space="preserve">    0.00% 아두이노 센서 값과 Unity 블루투스 시리얼 통신(김도형, 송주헌) 3/14-3/16 </v>
      </c>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row>
    <row r="38" spans="1:161" outlineLevel="4">
      <c r="A38" s="116"/>
      <c r="B38" s="116"/>
      <c r="C38" s="116">
        <v>5</v>
      </c>
      <c r="D38" s="3" t="s">
        <v>1164</v>
      </c>
      <c r="E38" s="184"/>
      <c r="F38" s="184"/>
      <c r="G38" s="184"/>
      <c r="H38" s="184"/>
      <c r="I38" s="184" t="s">
        <v>1149</v>
      </c>
      <c r="J38" s="184"/>
      <c r="K38" s="184"/>
      <c r="L38" s="184"/>
      <c r="M38" s="185">
        <v>43542</v>
      </c>
      <c r="N38" s="185">
        <v>43544</v>
      </c>
      <c r="O38" s="186"/>
      <c r="P38" s="187">
        <v>3</v>
      </c>
      <c r="Q38" s="187">
        <v>0</v>
      </c>
      <c r="R38" s="188">
        <v>3</v>
      </c>
      <c r="S38" s="188">
        <v>0</v>
      </c>
      <c r="T38" s="185"/>
      <c r="U38" s="185"/>
      <c r="V38" s="189"/>
      <c r="W38" s="190">
        <v>0</v>
      </c>
      <c r="X38" s="191">
        <v>1</v>
      </c>
      <c r="Y38" s="216" t="s">
        <v>1132</v>
      </c>
      <c r="Z38" s="192"/>
      <c r="AA38" s="97">
        <v>0</v>
      </c>
      <c r="AB38" s="193">
        <v>0</v>
      </c>
      <c r="AC38" s="123"/>
      <c r="AD38" s="4"/>
      <c r="AE38" s="4"/>
      <c r="AF38" s="4"/>
      <c r="AG38" s="4" t="str">
        <f>" " &amp; TEXT(AB38,"#0.00%") &amp; " " &amp; "아두이노와 스마트폰 USB 통신 확인 및 레이턴시 확인" &amp; "(송주헌)" &amp; " " &amp; IF(M38="","",TEXT(M38,"M/D-")) &amp; IF(N38="","",TEXT(N38,"M/D")) &amp; " "</f>
        <v xml:space="preserve"> 0.00% 아두이노와 스마트폰 USB 통신 확인 및 레이턴시 확인(송주헌) 3/18-3/20 </v>
      </c>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row>
    <row r="39" spans="1:161" outlineLevel="4">
      <c r="A39" s="116"/>
      <c r="B39" s="116"/>
      <c r="C39" s="116">
        <v>5</v>
      </c>
      <c r="D39" s="3" t="s">
        <v>1171</v>
      </c>
      <c r="E39" s="184"/>
      <c r="F39" s="184"/>
      <c r="G39" s="184"/>
      <c r="H39" s="184"/>
      <c r="I39" s="184" t="s">
        <v>1170</v>
      </c>
      <c r="J39" s="184"/>
      <c r="K39" s="184"/>
      <c r="L39" s="184"/>
      <c r="M39" s="185">
        <v>43544</v>
      </c>
      <c r="N39" s="185">
        <v>43551</v>
      </c>
      <c r="O39" s="186"/>
      <c r="P39" s="187">
        <v>8</v>
      </c>
      <c r="Q39" s="187">
        <v>0</v>
      </c>
      <c r="R39" s="188">
        <v>8</v>
      </c>
      <c r="S39" s="188">
        <v>0</v>
      </c>
      <c r="T39" s="185"/>
      <c r="U39" s="185"/>
      <c r="V39" s="189"/>
      <c r="W39" s="190">
        <v>0</v>
      </c>
      <c r="X39" s="191">
        <v>1</v>
      </c>
      <c r="Y39" s="216" t="s">
        <v>1169</v>
      </c>
      <c r="Z39" s="192"/>
      <c r="AA39" s="97">
        <v>0</v>
      </c>
      <c r="AB39" s="193">
        <v>0</v>
      </c>
      <c r="AC39" s="123"/>
      <c r="AD39" s="4"/>
      <c r="AE39" s="4"/>
      <c r="AF39" s="4"/>
      <c r="AG39" s="4" t="str">
        <f>"   " &amp; TEXT(AB39,"#0.00%") &amp; " " &amp; "프로토타입용 드럼 개발" &amp; "(숭주헌)" &amp; " " &amp; IF(M39="","",TEXT(M39,"M/D-")) &amp; IF(N39="","",TEXT(N39,"M/D")) &amp; " "</f>
        <v xml:space="preserve">   0.00% 프로토타입용 드럼 개발(숭주헌) 3/20-3/27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row>
    <row r="40" spans="1:161" outlineLevel="4">
      <c r="A40" s="116"/>
      <c r="B40" s="116"/>
      <c r="C40" s="116">
        <v>0</v>
      </c>
      <c r="D40" s="3"/>
      <c r="E40" s="184"/>
      <c r="F40" s="184"/>
      <c r="G40" s="184"/>
      <c r="H40" s="184"/>
      <c r="I40" s="184"/>
      <c r="J40" s="184"/>
      <c r="K40" s="184"/>
      <c r="L40" s="184"/>
      <c r="M40" s="185"/>
      <c r="N40" s="185"/>
      <c r="O40" s="186"/>
      <c r="P40" s="187"/>
      <c r="Q40" s="187"/>
      <c r="R40" s="188">
        <v>0</v>
      </c>
      <c r="S40" s="188">
        <v>0</v>
      </c>
      <c r="T40" s="185"/>
      <c r="U40" s="185"/>
      <c r="V40" s="189"/>
      <c r="W40" s="190">
        <v>0</v>
      </c>
      <c r="X40" s="191"/>
      <c r="Y40" s="186"/>
      <c r="Z40" s="192"/>
      <c r="AA40" s="97"/>
      <c r="AB40" s="193"/>
      <c r="AC40" s="123"/>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row>
    <row r="41" spans="1:161" outlineLevel="3">
      <c r="A41" s="116"/>
      <c r="B41" s="116" t="s">
        <v>1071</v>
      </c>
      <c r="C41" s="116">
        <v>4</v>
      </c>
      <c r="D41" s="219" t="s">
        <v>1083</v>
      </c>
      <c r="E41" s="220"/>
      <c r="F41" s="220"/>
      <c r="G41" s="220"/>
      <c r="H41" s="221" t="s">
        <v>1183</v>
      </c>
      <c r="I41" s="221"/>
      <c r="J41" s="220"/>
      <c r="K41" s="220"/>
      <c r="L41" s="220"/>
      <c r="M41" s="222">
        <v>43538</v>
      </c>
      <c r="N41" s="222">
        <v>43562</v>
      </c>
      <c r="O41" s="223"/>
      <c r="P41" s="224">
        <v>65</v>
      </c>
      <c r="Q41" s="224">
        <v>4</v>
      </c>
      <c r="R41" s="225">
        <v>25</v>
      </c>
      <c r="S41" s="225">
        <v>1</v>
      </c>
      <c r="T41" s="222"/>
      <c r="U41" s="222"/>
      <c r="V41" s="226">
        <v>0</v>
      </c>
      <c r="W41" s="227">
        <v>0</v>
      </c>
      <c r="X41" s="228"/>
      <c r="Y41" s="223"/>
      <c r="Z41" s="245"/>
      <c r="AA41" s="230">
        <v>6.1538461538461542E-2</v>
      </c>
      <c r="AB41" s="231">
        <v>4.6153846153846156E-2</v>
      </c>
      <c r="AC41" s="123"/>
      <c r="AD41" s="4"/>
      <c r="AE41" s="4"/>
      <c r="AF41" s="4" t="str">
        <f>"     " &amp; TEXT(AB41,"#0.00%") &amp; " "</f>
        <v xml:space="preserve">     4.62% </v>
      </c>
      <c r="AG41" s="4"/>
      <c r="AH41" s="4"/>
      <c r="AI41" s="4"/>
      <c r="AJ41" s="4" t="str">
        <f>" " &amp; "게임구현(유니티)" &amp; " " &amp; IF(M41="","",TEXT(M41,"M/D-")) &amp; IF(N41="","",TEXT(N41,"M/D")) &amp; " "</f>
        <v xml:space="preserve"> 게임구현(유니티) 3/14-4/7 </v>
      </c>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row>
    <row r="42" spans="1:161" outlineLevel="4">
      <c r="A42" s="116"/>
      <c r="B42" s="116" t="s">
        <v>1071</v>
      </c>
      <c r="C42" s="116">
        <v>5</v>
      </c>
      <c r="D42" s="219" t="s">
        <v>1084</v>
      </c>
      <c r="E42" s="220"/>
      <c r="F42" s="220"/>
      <c r="G42" s="220"/>
      <c r="H42" s="221"/>
      <c r="I42" s="221" t="s">
        <v>1264</v>
      </c>
      <c r="J42" s="220"/>
      <c r="K42" s="220"/>
      <c r="L42" s="220"/>
      <c r="M42" s="222"/>
      <c r="N42" s="222"/>
      <c r="O42" s="223"/>
      <c r="P42" s="224">
        <v>0</v>
      </c>
      <c r="Q42" s="224">
        <v>0</v>
      </c>
      <c r="R42" s="225">
        <v>0</v>
      </c>
      <c r="S42" s="225">
        <v>0</v>
      </c>
      <c r="T42" s="222"/>
      <c r="U42" s="222"/>
      <c r="V42" s="226">
        <v>0</v>
      </c>
      <c r="W42" s="227">
        <v>0</v>
      </c>
      <c r="X42" s="228"/>
      <c r="Y42" s="223"/>
      <c r="Z42" s="245"/>
      <c r="AA42" s="230">
        <v>0</v>
      </c>
      <c r="AB42" s="231">
        <v>0</v>
      </c>
      <c r="AC42" s="123"/>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row>
    <row r="43" spans="1:161" outlineLevel="5">
      <c r="A43" s="116"/>
      <c r="B43" s="116"/>
      <c r="C43" s="116">
        <v>6</v>
      </c>
      <c r="D43" s="3" t="s">
        <v>1017</v>
      </c>
      <c r="E43" s="184"/>
      <c r="F43" s="184"/>
      <c r="G43" s="184"/>
      <c r="H43" s="217"/>
      <c r="I43" s="217"/>
      <c r="J43" s="184" t="s">
        <v>1265</v>
      </c>
      <c r="K43" s="184"/>
      <c r="L43" s="184"/>
      <c r="M43" s="185"/>
      <c r="N43" s="185"/>
      <c r="O43" s="186"/>
      <c r="P43" s="187">
        <v>0</v>
      </c>
      <c r="Q43" s="187">
        <v>0</v>
      </c>
      <c r="R43" s="188">
        <v>0</v>
      </c>
      <c r="S43" s="188">
        <v>0</v>
      </c>
      <c r="T43" s="185"/>
      <c r="U43" s="185"/>
      <c r="V43" s="189">
        <v>0</v>
      </c>
      <c r="W43" s="190">
        <v>0</v>
      </c>
      <c r="X43" s="191"/>
      <c r="Y43" s="186"/>
      <c r="Z43" s="192"/>
      <c r="AA43" s="97">
        <v>0</v>
      </c>
      <c r="AB43" s="193">
        <v>0</v>
      </c>
      <c r="AC43" s="123"/>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row>
    <row r="44" spans="1:161" outlineLevel="5">
      <c r="A44" s="116"/>
      <c r="B44" s="116"/>
      <c r="C44" s="116">
        <v>6</v>
      </c>
      <c r="D44" s="3" t="s">
        <v>1019</v>
      </c>
      <c r="E44" s="184"/>
      <c r="F44" s="184"/>
      <c r="G44" s="184"/>
      <c r="H44" s="217"/>
      <c r="I44" s="217"/>
      <c r="J44" s="184" t="s">
        <v>1266</v>
      </c>
      <c r="K44" s="184"/>
      <c r="L44" s="184"/>
      <c r="M44" s="185"/>
      <c r="N44" s="185"/>
      <c r="O44" s="186"/>
      <c r="P44" s="187">
        <v>0</v>
      </c>
      <c r="Q44" s="187">
        <v>0</v>
      </c>
      <c r="R44" s="188">
        <v>0</v>
      </c>
      <c r="S44" s="188">
        <v>0</v>
      </c>
      <c r="T44" s="185"/>
      <c r="U44" s="185"/>
      <c r="V44" s="189">
        <v>0</v>
      </c>
      <c r="W44" s="190">
        <v>0</v>
      </c>
      <c r="X44" s="191"/>
      <c r="Y44" s="186"/>
      <c r="Z44" s="192"/>
      <c r="AA44" s="97">
        <v>0</v>
      </c>
      <c r="AB44" s="193">
        <v>0</v>
      </c>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row>
    <row r="45" spans="1:161" outlineLevel="5">
      <c r="A45" s="116"/>
      <c r="B45" s="116"/>
      <c r="C45" s="116">
        <v>6</v>
      </c>
      <c r="D45" s="3" t="s">
        <v>1021</v>
      </c>
      <c r="E45" s="184"/>
      <c r="F45" s="184"/>
      <c r="G45" s="184"/>
      <c r="H45" s="217"/>
      <c r="I45" s="217"/>
      <c r="J45" s="184" t="s">
        <v>1267</v>
      </c>
      <c r="K45" s="184"/>
      <c r="L45" s="184"/>
      <c r="M45" s="185"/>
      <c r="N45" s="185"/>
      <c r="O45" s="186"/>
      <c r="P45" s="187">
        <v>0</v>
      </c>
      <c r="Q45" s="187">
        <v>0</v>
      </c>
      <c r="R45" s="188">
        <v>0</v>
      </c>
      <c r="S45" s="188">
        <v>0</v>
      </c>
      <c r="T45" s="185"/>
      <c r="U45" s="185"/>
      <c r="V45" s="189">
        <v>0</v>
      </c>
      <c r="W45" s="190">
        <v>0</v>
      </c>
      <c r="X45" s="191"/>
      <c r="Y45" s="186"/>
      <c r="Z45" s="192"/>
      <c r="AA45" s="97">
        <v>0</v>
      </c>
      <c r="AB45" s="193">
        <v>0</v>
      </c>
      <c r="AC45" s="123"/>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row>
    <row r="46" spans="1:161" outlineLevel="5">
      <c r="A46" s="116"/>
      <c r="B46" s="116"/>
      <c r="C46" s="116">
        <v>6</v>
      </c>
      <c r="D46" s="3" t="s">
        <v>1191</v>
      </c>
      <c r="E46" s="184"/>
      <c r="F46" s="184"/>
      <c r="G46" s="184"/>
      <c r="H46" s="217"/>
      <c r="I46" s="217"/>
      <c r="J46" s="184" t="s">
        <v>1268</v>
      </c>
      <c r="K46" s="184"/>
      <c r="L46" s="184"/>
      <c r="M46" s="185"/>
      <c r="N46" s="185"/>
      <c r="O46" s="186"/>
      <c r="P46" s="187">
        <v>0</v>
      </c>
      <c r="Q46" s="187">
        <v>0</v>
      </c>
      <c r="R46" s="188">
        <v>0</v>
      </c>
      <c r="S46" s="188">
        <v>0</v>
      </c>
      <c r="T46" s="185"/>
      <c r="U46" s="185"/>
      <c r="V46" s="189">
        <v>0</v>
      </c>
      <c r="W46" s="190">
        <v>0</v>
      </c>
      <c r="X46" s="191"/>
      <c r="Y46" s="186"/>
      <c r="Z46" s="192"/>
      <c r="AA46" s="97">
        <v>0</v>
      </c>
      <c r="AB46" s="193">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row>
    <row r="47" spans="1:161" outlineLevel="5">
      <c r="A47" s="116"/>
      <c r="B47" s="116"/>
      <c r="C47" s="116">
        <v>6</v>
      </c>
      <c r="D47" s="3" t="s">
        <v>1194</v>
      </c>
      <c r="E47" s="184"/>
      <c r="F47" s="184"/>
      <c r="G47" s="184"/>
      <c r="H47" s="217"/>
      <c r="I47" s="217"/>
      <c r="J47" s="184" t="s">
        <v>1269</v>
      </c>
      <c r="K47" s="184"/>
      <c r="L47" s="184"/>
      <c r="M47" s="185"/>
      <c r="N47" s="185"/>
      <c r="O47" s="186"/>
      <c r="P47" s="187">
        <v>0</v>
      </c>
      <c r="Q47" s="187">
        <v>0</v>
      </c>
      <c r="R47" s="188">
        <v>0</v>
      </c>
      <c r="S47" s="188">
        <v>0</v>
      </c>
      <c r="T47" s="185"/>
      <c r="U47" s="185"/>
      <c r="V47" s="189">
        <v>0</v>
      </c>
      <c r="W47" s="190">
        <v>0</v>
      </c>
      <c r="X47" s="191"/>
      <c r="Y47" s="186"/>
      <c r="Z47" s="192"/>
      <c r="AA47" s="97">
        <v>0</v>
      </c>
      <c r="AB47" s="193">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row>
    <row r="48" spans="1:161" outlineLevel="5">
      <c r="A48" s="116"/>
      <c r="B48" s="116"/>
      <c r="C48" s="116">
        <v>6</v>
      </c>
      <c r="D48" s="3" t="s">
        <v>1195</v>
      </c>
      <c r="E48" s="184"/>
      <c r="F48" s="184"/>
      <c r="G48" s="184"/>
      <c r="H48" s="217"/>
      <c r="I48" s="217"/>
      <c r="J48" s="184" t="s">
        <v>1270</v>
      </c>
      <c r="K48" s="184"/>
      <c r="L48" s="184"/>
      <c r="M48" s="185"/>
      <c r="N48" s="185"/>
      <c r="O48" s="186"/>
      <c r="P48" s="187">
        <v>0</v>
      </c>
      <c r="Q48" s="187">
        <v>0</v>
      </c>
      <c r="R48" s="188">
        <v>0</v>
      </c>
      <c r="S48" s="188">
        <v>0</v>
      </c>
      <c r="T48" s="185"/>
      <c r="U48" s="185"/>
      <c r="V48" s="189">
        <v>0</v>
      </c>
      <c r="W48" s="190">
        <v>0</v>
      </c>
      <c r="X48" s="191"/>
      <c r="Y48" s="186"/>
      <c r="Z48" s="192"/>
      <c r="AA48" s="97">
        <v>0</v>
      </c>
      <c r="AB48" s="193">
        <v>0</v>
      </c>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row>
    <row r="49" spans="1:161" outlineLevel="4">
      <c r="A49" s="116"/>
      <c r="B49" s="116" t="s">
        <v>1071</v>
      </c>
      <c r="C49" s="116">
        <v>5</v>
      </c>
      <c r="D49" s="3" t="s">
        <v>1023</v>
      </c>
      <c r="E49" s="184"/>
      <c r="F49" s="184"/>
      <c r="G49" s="184"/>
      <c r="H49" s="184"/>
      <c r="I49" s="217" t="s">
        <v>1184</v>
      </c>
      <c r="J49" s="184"/>
      <c r="K49" s="184"/>
      <c r="L49" s="184"/>
      <c r="M49" s="185">
        <v>43538</v>
      </c>
      <c r="N49" s="185">
        <v>43546</v>
      </c>
      <c r="O49" s="186"/>
      <c r="P49" s="187">
        <v>17</v>
      </c>
      <c r="Q49" s="187">
        <v>4</v>
      </c>
      <c r="R49" s="188">
        <v>9</v>
      </c>
      <c r="S49" s="188">
        <v>1</v>
      </c>
      <c r="T49" s="185"/>
      <c r="U49" s="185"/>
      <c r="V49" s="189">
        <v>0</v>
      </c>
      <c r="W49" s="190">
        <v>0</v>
      </c>
      <c r="X49" s="191"/>
      <c r="Y49" s="216"/>
      <c r="Z49" s="192"/>
      <c r="AA49" s="97">
        <v>0.23529411764705882</v>
      </c>
      <c r="AB49" s="193">
        <v>0.17647058823529413</v>
      </c>
      <c r="AC49" s="123"/>
      <c r="AD49" s="4"/>
      <c r="AE49" s="4"/>
      <c r="AF49" s="4" t="str">
        <f>"      " &amp; TEXT(AB49,"#0.00%") &amp; " " &amp; "프리모드" &amp; " " &amp; IF(M49="","",TEXT(M49,"M/D-")) &amp; IF(N49="","",TEXT(N49,"M/D")) &amp; " "</f>
        <v xml:space="preserve">      17.65% 프리모드 3/14-3/22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row>
    <row r="50" spans="1:161" outlineLevel="5">
      <c r="A50" s="116"/>
      <c r="B50" s="116"/>
      <c r="C50" s="116">
        <v>6</v>
      </c>
      <c r="D50" s="3" t="s">
        <v>1237</v>
      </c>
      <c r="E50" s="184"/>
      <c r="F50" s="184"/>
      <c r="G50" s="184"/>
      <c r="H50" s="184"/>
      <c r="I50" s="217"/>
      <c r="J50" s="184" t="s">
        <v>1187</v>
      </c>
      <c r="K50" s="184"/>
      <c r="L50" s="184"/>
      <c r="M50" s="185">
        <v>43538</v>
      </c>
      <c r="N50" s="185">
        <v>43538</v>
      </c>
      <c r="O50" s="186"/>
      <c r="P50" s="187">
        <v>1</v>
      </c>
      <c r="Q50" s="187">
        <v>1</v>
      </c>
      <c r="R50" s="188">
        <v>1</v>
      </c>
      <c r="S50" s="188">
        <v>1</v>
      </c>
      <c r="T50" s="185"/>
      <c r="U50" s="185"/>
      <c r="V50" s="189"/>
      <c r="W50" s="190">
        <v>0</v>
      </c>
      <c r="X50" s="191">
        <v>1</v>
      </c>
      <c r="Y50" s="216" t="s">
        <v>1129</v>
      </c>
      <c r="Z50" s="192"/>
      <c r="AA50" s="97">
        <v>1</v>
      </c>
      <c r="AB50" s="193">
        <v>1</v>
      </c>
      <c r="AC50" s="123"/>
      <c r="AD50" s="4"/>
      <c r="AE50" s="4"/>
      <c r="AF50" s="4" t="str">
        <f>"     " &amp; TEXT(AB50,"#0.00%") &amp; " " &amp; "노래선택 화면 씬 구현" &amp; "(김가연)" &amp; " " &amp; IF(M50="","",TEXT(M50,"M/D-")) &amp; IF(N50="","",TEXT(N50,"M/D")) &amp; " "</f>
        <v xml:space="preserve">     100.00% 노래선택 화면 씬 구현(김가연) 3/14-3/14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row>
    <row r="51" spans="1:161" outlineLevel="5">
      <c r="A51" s="116"/>
      <c r="B51" s="116"/>
      <c r="C51" s="116">
        <v>6</v>
      </c>
      <c r="D51" s="3" t="s">
        <v>1238</v>
      </c>
      <c r="E51" s="184"/>
      <c r="F51" s="184"/>
      <c r="G51" s="184"/>
      <c r="H51" s="184"/>
      <c r="I51" s="217"/>
      <c r="J51" s="184" t="s">
        <v>1188</v>
      </c>
      <c r="K51" s="184"/>
      <c r="L51" s="184"/>
      <c r="M51" s="185">
        <v>43538</v>
      </c>
      <c r="N51" s="185">
        <v>43540</v>
      </c>
      <c r="O51" s="186"/>
      <c r="P51" s="187">
        <v>3</v>
      </c>
      <c r="Q51" s="187">
        <v>1</v>
      </c>
      <c r="R51" s="188">
        <v>3</v>
      </c>
      <c r="S51" s="188">
        <v>1</v>
      </c>
      <c r="T51" s="185"/>
      <c r="U51" s="185"/>
      <c r="V51" s="189"/>
      <c r="W51" s="190">
        <v>0</v>
      </c>
      <c r="X51" s="191">
        <v>1</v>
      </c>
      <c r="Y51" s="216" t="s">
        <v>1129</v>
      </c>
      <c r="Z51" s="192"/>
      <c r="AA51" s="97">
        <v>0.33333333333333331</v>
      </c>
      <c r="AB51" s="193">
        <v>0</v>
      </c>
      <c r="AC51" s="123"/>
      <c r="AD51" s="4"/>
      <c r="AE51" s="4"/>
      <c r="AF51" s="4" t="str">
        <f>"    " &amp; TEXT(AB51,"#0.00%") &amp; " " &amp; "사용자 로컬의 오디오 파일 불러오기 Test" &amp; "(김가연)" &amp; " " &amp; IF(M51="","",TEXT(M51,"M/D-")) &amp; IF(N51="","",TEXT(N51,"M/D")) &amp; " "</f>
        <v xml:space="preserve">    0.00% 사용자 로컬의 오디오 파일 불러오기 Test(김가연) 3/14-3/16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row>
    <row r="52" spans="1:161" outlineLevel="5">
      <c r="A52" s="116"/>
      <c r="B52" s="116"/>
      <c r="C52" s="116">
        <v>6</v>
      </c>
      <c r="D52" s="232" t="s">
        <v>1239</v>
      </c>
      <c r="E52" s="233"/>
      <c r="F52" s="233"/>
      <c r="G52" s="233"/>
      <c r="H52" s="233"/>
      <c r="I52" s="233"/>
      <c r="J52" s="233" t="s">
        <v>1189</v>
      </c>
      <c r="K52" s="233"/>
      <c r="L52" s="233"/>
      <c r="M52" s="234">
        <v>43538</v>
      </c>
      <c r="N52" s="234">
        <v>43538</v>
      </c>
      <c r="O52" s="235"/>
      <c r="P52" s="236">
        <v>1</v>
      </c>
      <c r="Q52" s="236">
        <v>1</v>
      </c>
      <c r="R52" s="237">
        <v>1</v>
      </c>
      <c r="S52" s="237">
        <v>1</v>
      </c>
      <c r="T52" s="234"/>
      <c r="U52" s="234"/>
      <c r="V52" s="238"/>
      <c r="W52" s="239">
        <v>0</v>
      </c>
      <c r="X52" s="240">
        <v>1</v>
      </c>
      <c r="Y52" s="241" t="s">
        <v>1129</v>
      </c>
      <c r="Z52" s="242"/>
      <c r="AA52" s="243">
        <v>1</v>
      </c>
      <c r="AB52" s="244">
        <v>1</v>
      </c>
      <c r="AC52" s="123"/>
      <c r="AD52" s="4"/>
      <c r="AE52" s="4"/>
      <c r="AF52" s="4" t="str">
        <f>"     " &amp; TEXT(AB52,"#0.00%") &amp; " " &amp; "게임화면 씬 구현" &amp; "(김가연)" &amp; " " &amp; IF(M52="","",TEXT(M52,"M/D-")) &amp; IF(N52="","",TEXT(N52,"M/D")) &amp; " "</f>
        <v xml:space="preserve">     100.00% 게임화면 씬 구현(김가연) 3/14-3/14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row>
    <row r="53" spans="1:161" outlineLevel="5">
      <c r="A53" s="116"/>
      <c r="B53" s="116"/>
      <c r="C53" s="116">
        <v>6</v>
      </c>
      <c r="D53" s="232" t="s">
        <v>1240</v>
      </c>
      <c r="E53" s="233"/>
      <c r="F53" s="233"/>
      <c r="G53" s="233"/>
      <c r="H53" s="233"/>
      <c r="I53" s="247"/>
      <c r="J53" s="233" t="s">
        <v>1190</v>
      </c>
      <c r="K53" s="233"/>
      <c r="L53" s="247" t="s">
        <v>1257</v>
      </c>
      <c r="M53" s="234">
        <v>43538</v>
      </c>
      <c r="N53" s="234">
        <v>43538</v>
      </c>
      <c r="O53" s="235"/>
      <c r="P53" s="236">
        <v>1</v>
      </c>
      <c r="Q53" s="236">
        <v>1</v>
      </c>
      <c r="R53" s="237">
        <v>1</v>
      </c>
      <c r="S53" s="237">
        <v>1</v>
      </c>
      <c r="T53" s="234"/>
      <c r="U53" s="234"/>
      <c r="V53" s="238"/>
      <c r="W53" s="239">
        <v>0</v>
      </c>
      <c r="X53" s="240">
        <v>1</v>
      </c>
      <c r="Y53" s="241" t="s">
        <v>1129</v>
      </c>
      <c r="Z53" s="242"/>
      <c r="AA53" s="243">
        <v>1</v>
      </c>
      <c r="AB53" s="244">
        <v>1</v>
      </c>
      <c r="AC53" s="123"/>
      <c r="AD53" s="4"/>
      <c r="AE53" s="4"/>
      <c r="AF53" s="4" t="str">
        <f>"     " &amp; TEXT(AB53,"#0.00%") &amp; " " &amp; "화면 터치 시의 씬 구현" &amp; "(김가연)" &amp; " " &amp; IF(M53="","",TEXT(M53,"M/D-")) &amp; IF(N53="","",TEXT(N53,"M/D")) &amp; " "</f>
        <v xml:space="preserve">     100.00% 화면 터치 시의 씬 구현(김가연) 3/14-3/14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row>
    <row r="54" spans="1:161" outlineLevel="5">
      <c r="A54" s="116"/>
      <c r="B54" s="116"/>
      <c r="C54" s="116">
        <v>6</v>
      </c>
      <c r="D54" s="232" t="s">
        <v>1241</v>
      </c>
      <c r="E54" s="233"/>
      <c r="F54" s="233"/>
      <c r="G54" s="233"/>
      <c r="H54" s="233"/>
      <c r="I54" s="247"/>
      <c r="J54" s="233" t="s">
        <v>1198</v>
      </c>
      <c r="K54" s="233"/>
      <c r="L54" s="233"/>
      <c r="M54" s="234">
        <v>43542</v>
      </c>
      <c r="N54" s="234">
        <v>43544</v>
      </c>
      <c r="O54" s="235"/>
      <c r="P54" s="236">
        <v>3</v>
      </c>
      <c r="Q54" s="236">
        <v>0</v>
      </c>
      <c r="R54" s="237">
        <v>3</v>
      </c>
      <c r="S54" s="237">
        <v>0</v>
      </c>
      <c r="T54" s="234"/>
      <c r="U54" s="234"/>
      <c r="V54" s="238"/>
      <c r="W54" s="239">
        <v>0</v>
      </c>
      <c r="X54" s="240">
        <v>1</v>
      </c>
      <c r="Y54" s="241" t="s">
        <v>1129</v>
      </c>
      <c r="Z54" s="242"/>
      <c r="AA54" s="243">
        <v>0</v>
      </c>
      <c r="AB54" s="244">
        <v>0</v>
      </c>
      <c r="AC54" s="123"/>
      <c r="AD54" s="4"/>
      <c r="AE54" s="4"/>
      <c r="AF54" s="4"/>
      <c r="AG54" s="4" t="str">
        <f>" " &amp; TEXT(AB54,"#0.00%") &amp; " " &amp; "게임 화면 녹화 기능" &amp; "(김가연)" &amp; " " &amp; IF(M54="","",TEXT(M54,"M/D-")) &amp; IF(N54="","",TEXT(N54,"M/D")) &amp; " "</f>
        <v xml:space="preserve"> 0.00% 게임 화면 녹화 기능(김가연) 3/18-3/20 </v>
      </c>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row>
    <row r="55" spans="1:161" outlineLevel="5">
      <c r="A55" s="116"/>
      <c r="B55" s="116"/>
      <c r="C55" s="116">
        <v>6</v>
      </c>
      <c r="D55" s="232" t="s">
        <v>1242</v>
      </c>
      <c r="E55" s="233"/>
      <c r="F55" s="233"/>
      <c r="G55" s="233"/>
      <c r="H55" s="233"/>
      <c r="I55" s="247"/>
      <c r="J55" s="233" t="s">
        <v>1192</v>
      </c>
      <c r="K55" s="233"/>
      <c r="L55" s="233"/>
      <c r="M55" s="234">
        <v>43542</v>
      </c>
      <c r="N55" s="234">
        <v>43543</v>
      </c>
      <c r="O55" s="235"/>
      <c r="P55" s="236">
        <v>2</v>
      </c>
      <c r="Q55" s="236">
        <v>0</v>
      </c>
      <c r="R55" s="237">
        <v>2</v>
      </c>
      <c r="S55" s="237">
        <v>0</v>
      </c>
      <c r="T55" s="234"/>
      <c r="U55" s="234"/>
      <c r="V55" s="238"/>
      <c r="W55" s="239">
        <v>0</v>
      </c>
      <c r="X55" s="240">
        <v>1</v>
      </c>
      <c r="Y55" s="241" t="s">
        <v>1123</v>
      </c>
      <c r="Z55" s="242"/>
      <c r="AA55" s="243">
        <v>0</v>
      </c>
      <c r="AB55" s="244">
        <v>0</v>
      </c>
      <c r="AC55" s="123"/>
      <c r="AD55" s="4"/>
      <c r="AE55" s="4"/>
      <c r="AF55" s="4"/>
      <c r="AG55" s="4" t="str">
        <f>" " &amp; TEXT(AB55,"#0.00%") &amp; " " &amp; "노트 값 생성" &amp; "(김도형)" &amp; " " &amp; IF(M55="","",TEXT(M55,"M/D-")) &amp; IF(N55="","",TEXT(N55,"M/D")) &amp; " "</f>
        <v xml:space="preserve"> 0.00% 노트 값 생성(김도형) 3/18-3/19 </v>
      </c>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row>
    <row r="56" spans="1:161" outlineLevel="5">
      <c r="A56" s="116"/>
      <c r="B56" s="116"/>
      <c r="C56" s="116">
        <v>6</v>
      </c>
      <c r="D56" s="232" t="s">
        <v>1243</v>
      </c>
      <c r="E56" s="233"/>
      <c r="F56" s="233"/>
      <c r="G56" s="233"/>
      <c r="H56" s="233"/>
      <c r="I56" s="247"/>
      <c r="J56" s="233" t="s">
        <v>1193</v>
      </c>
      <c r="K56" s="233"/>
      <c r="L56" s="233"/>
      <c r="M56" s="234">
        <v>43543</v>
      </c>
      <c r="N56" s="234">
        <v>43544</v>
      </c>
      <c r="O56" s="235"/>
      <c r="P56" s="236">
        <v>2</v>
      </c>
      <c r="Q56" s="236">
        <v>0</v>
      </c>
      <c r="R56" s="237">
        <v>2</v>
      </c>
      <c r="S56" s="237">
        <v>0</v>
      </c>
      <c r="T56" s="234"/>
      <c r="U56" s="234"/>
      <c r="V56" s="238"/>
      <c r="W56" s="239">
        <v>0</v>
      </c>
      <c r="X56" s="240">
        <v>1</v>
      </c>
      <c r="Y56" s="241" t="s">
        <v>1123</v>
      </c>
      <c r="Z56" s="242"/>
      <c r="AA56" s="243">
        <v>0</v>
      </c>
      <c r="AB56" s="244">
        <v>0</v>
      </c>
      <c r="AC56" s="123"/>
      <c r="AD56" s="4"/>
      <c r="AE56" s="4"/>
      <c r="AF56" s="4"/>
      <c r="AG56" s="4" t="str">
        <f>"  " &amp; TEXT(AB56,"#0.00%") &amp; " " &amp; "노트 값 txt 저장" &amp; "(김도형)" &amp; " " &amp; IF(M56="","",TEXT(M56,"M/D-")) &amp; IF(N56="","",TEXT(N56,"M/D")) &amp; " "</f>
        <v xml:space="preserve">  0.00% 노트 값 txt 저장(김도형) 3/19-3/20 </v>
      </c>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row>
    <row r="57" spans="1:161" outlineLevel="5">
      <c r="A57" s="116"/>
      <c r="B57" s="116"/>
      <c r="C57" s="116">
        <v>6</v>
      </c>
      <c r="D57" s="232" t="s">
        <v>1250</v>
      </c>
      <c r="E57" s="233"/>
      <c r="F57" s="233"/>
      <c r="G57" s="233"/>
      <c r="H57" s="233"/>
      <c r="I57" s="247"/>
      <c r="J57" s="233" t="s">
        <v>1196</v>
      </c>
      <c r="K57" s="233"/>
      <c r="L57" s="233"/>
      <c r="M57" s="234">
        <v>43539</v>
      </c>
      <c r="N57" s="234">
        <v>43539</v>
      </c>
      <c r="O57" s="235"/>
      <c r="P57" s="236">
        <v>1</v>
      </c>
      <c r="Q57" s="236">
        <v>0</v>
      </c>
      <c r="R57" s="237">
        <v>1</v>
      </c>
      <c r="S57" s="237">
        <v>0</v>
      </c>
      <c r="T57" s="234"/>
      <c r="U57" s="234"/>
      <c r="V57" s="238"/>
      <c r="W57" s="239">
        <v>0</v>
      </c>
      <c r="X57" s="240">
        <v>1</v>
      </c>
      <c r="Y57" s="241" t="s">
        <v>1129</v>
      </c>
      <c r="Z57" s="242"/>
      <c r="AA57" s="243">
        <v>0</v>
      </c>
      <c r="AB57" s="244">
        <v>0</v>
      </c>
      <c r="AC57" s="123"/>
      <c r="AD57" s="4"/>
      <c r="AE57" s="4"/>
      <c r="AF57" s="4" t="str">
        <f>"     " &amp; TEXT(AB57,"#0.00%") &amp; " " &amp; "게임 종료 씬 구현" &amp; "(김가연)" &amp; " " &amp; IF(M57="","",TEXT(M57,"M/D-")) &amp; IF(N57="","",TEXT(N57,"M/D")) &amp; " "</f>
        <v xml:space="preserve">     0.00% 게임 종료 씬 구현(김가연) 3/15-3/15 </v>
      </c>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row>
    <row r="58" spans="1:161" outlineLevel="5">
      <c r="A58" s="116"/>
      <c r="B58" s="116"/>
      <c r="C58" s="116">
        <v>6</v>
      </c>
      <c r="D58" s="232" t="s">
        <v>1256</v>
      </c>
      <c r="E58" s="233"/>
      <c r="F58" s="233"/>
      <c r="G58" s="233"/>
      <c r="H58" s="233"/>
      <c r="I58" s="247"/>
      <c r="J58" s="233" t="s">
        <v>1200</v>
      </c>
      <c r="K58" s="233"/>
      <c r="L58" s="233"/>
      <c r="M58" s="234">
        <v>43544</v>
      </c>
      <c r="N58" s="234">
        <v>43546</v>
      </c>
      <c r="O58" s="235"/>
      <c r="P58" s="236">
        <v>3</v>
      </c>
      <c r="Q58" s="236">
        <v>0</v>
      </c>
      <c r="R58" s="237">
        <v>3</v>
      </c>
      <c r="S58" s="237">
        <v>0</v>
      </c>
      <c r="T58" s="234"/>
      <c r="U58" s="234"/>
      <c r="V58" s="238"/>
      <c r="W58" s="239">
        <v>0</v>
      </c>
      <c r="X58" s="240">
        <v>1</v>
      </c>
      <c r="Y58" s="241" t="s">
        <v>1244</v>
      </c>
      <c r="Z58" s="242"/>
      <c r="AA58" s="243">
        <v>0</v>
      </c>
      <c r="AB58" s="244">
        <v>0</v>
      </c>
      <c r="AC58" s="123"/>
      <c r="AD58" s="4"/>
      <c r="AE58" s="4"/>
      <c r="AF58" s="4"/>
      <c r="AG58" s="4" t="str">
        <f>"   " &amp; TEXT(AB58,"#0.00%") &amp; " " &amp; "저장하기 클릭 시 DB저장" &amp; "(김도형, 김가연)" &amp; " " &amp; IF(M58="","",TEXT(M58,"M/D-")) &amp; IF(N58="","",TEXT(N58,"M/D")) &amp; " "</f>
        <v xml:space="preserve">   0.00% 저장하기 클릭 시 DB저장(김도형, 김가연) 3/20-3/22 </v>
      </c>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row>
    <row r="59" spans="1:161" outlineLevel="4">
      <c r="A59" s="116"/>
      <c r="B59" s="116" t="s">
        <v>1071</v>
      </c>
      <c r="C59" s="116">
        <v>5</v>
      </c>
      <c r="D59" s="232" t="s">
        <v>1025</v>
      </c>
      <c r="E59" s="233"/>
      <c r="F59" s="233"/>
      <c r="G59" s="233"/>
      <c r="H59" s="233"/>
      <c r="I59" s="247" t="s">
        <v>1185</v>
      </c>
      <c r="J59" s="233"/>
      <c r="K59" s="233"/>
      <c r="L59" s="233"/>
      <c r="M59" s="234">
        <v>43539</v>
      </c>
      <c r="N59" s="234">
        <v>43562</v>
      </c>
      <c r="O59" s="235"/>
      <c r="P59" s="236">
        <v>47</v>
      </c>
      <c r="Q59" s="236">
        <v>0</v>
      </c>
      <c r="R59" s="237">
        <v>24</v>
      </c>
      <c r="S59" s="237">
        <v>0</v>
      </c>
      <c r="T59" s="234"/>
      <c r="U59" s="234"/>
      <c r="V59" s="238">
        <v>0</v>
      </c>
      <c r="W59" s="239">
        <v>0</v>
      </c>
      <c r="X59" s="240"/>
      <c r="Y59" s="241"/>
      <c r="Z59" s="242"/>
      <c r="AA59" s="243">
        <v>0</v>
      </c>
      <c r="AB59" s="244">
        <v>0</v>
      </c>
      <c r="AC59" s="123"/>
      <c r="AD59" s="4"/>
      <c r="AE59" s="4"/>
      <c r="AF59" s="4" t="str">
        <f>"     " &amp; TEXT(AB59,"#0.00%") &amp; " "</f>
        <v xml:space="preserve">     0.00% </v>
      </c>
      <c r="AG59" s="4"/>
      <c r="AH59" s="4"/>
      <c r="AI59" s="4"/>
      <c r="AJ59" s="4" t="str">
        <f>" " &amp; "연주모드" &amp; " " &amp; IF(M59="","",TEXT(M59,"M/D-")) &amp; IF(N59="","",TEXT(N59,"M/D")) &amp; " "</f>
        <v xml:space="preserve"> 연주모드 3/15-4/7 </v>
      </c>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row>
    <row r="60" spans="1:161" outlineLevel="5">
      <c r="A60" s="116"/>
      <c r="B60" s="116"/>
      <c r="C60" s="116">
        <v>6</v>
      </c>
      <c r="D60" s="232" t="s">
        <v>1273</v>
      </c>
      <c r="E60" s="233"/>
      <c r="F60" s="233"/>
      <c r="G60" s="233"/>
      <c r="H60" s="233"/>
      <c r="I60" s="247"/>
      <c r="J60" s="233" t="s">
        <v>1187</v>
      </c>
      <c r="K60" s="233"/>
      <c r="L60" s="233"/>
      <c r="M60" s="234">
        <v>43539</v>
      </c>
      <c r="N60" s="234">
        <v>43539</v>
      </c>
      <c r="O60" s="235"/>
      <c r="P60" s="236">
        <v>1</v>
      </c>
      <c r="Q60" s="236">
        <v>0</v>
      </c>
      <c r="R60" s="237">
        <v>1</v>
      </c>
      <c r="S60" s="237">
        <v>0</v>
      </c>
      <c r="T60" s="234"/>
      <c r="U60" s="234"/>
      <c r="V60" s="238"/>
      <c r="W60" s="239">
        <v>0</v>
      </c>
      <c r="X60" s="240">
        <v>1</v>
      </c>
      <c r="Y60" s="241" t="s">
        <v>1129</v>
      </c>
      <c r="Z60" s="242"/>
      <c r="AA60" s="243">
        <v>0</v>
      </c>
      <c r="AB60" s="244">
        <v>0</v>
      </c>
      <c r="AC60" s="123"/>
      <c r="AD60" s="4"/>
      <c r="AE60" s="4"/>
      <c r="AF60" s="4" t="str">
        <f>"     " &amp; TEXT(AB60,"#0.00%") &amp; " " &amp; "노래선택 화면 씬 구현" &amp; "(김가연)" &amp; " " &amp; IF(M60="","",TEXT(M60,"M/D-")) &amp; IF(N60="","",TEXT(N60,"M/D")) &amp; " "</f>
        <v xml:space="preserve">     0.00% 노래선택 화면 씬 구현(김가연) 3/15-3/15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row>
    <row r="61" spans="1:161" outlineLevel="5">
      <c r="A61" s="116"/>
      <c r="B61" s="116"/>
      <c r="C61" s="116">
        <v>6</v>
      </c>
      <c r="D61" s="232" t="s">
        <v>1274</v>
      </c>
      <c r="E61" s="233"/>
      <c r="F61" s="233"/>
      <c r="G61" s="233"/>
      <c r="H61" s="233"/>
      <c r="I61" s="247"/>
      <c r="J61" s="233" t="s">
        <v>1189</v>
      </c>
      <c r="K61" s="233"/>
      <c r="L61" s="233"/>
      <c r="M61" s="234">
        <v>43540</v>
      </c>
      <c r="N61" s="234">
        <v>43540</v>
      </c>
      <c r="O61" s="235"/>
      <c r="P61" s="236">
        <v>1</v>
      </c>
      <c r="Q61" s="236">
        <v>0</v>
      </c>
      <c r="R61" s="237">
        <v>1</v>
      </c>
      <c r="S61" s="237">
        <v>0</v>
      </c>
      <c r="T61" s="234"/>
      <c r="U61" s="234"/>
      <c r="V61" s="238"/>
      <c r="W61" s="239">
        <v>0</v>
      </c>
      <c r="X61" s="240">
        <v>1</v>
      </c>
      <c r="Y61" s="241" t="s">
        <v>1129</v>
      </c>
      <c r="Z61" s="242"/>
      <c r="AA61" s="243">
        <v>0</v>
      </c>
      <c r="AB61" s="244">
        <v>0</v>
      </c>
      <c r="AC61" s="123"/>
      <c r="AD61" s="4"/>
      <c r="AE61" s="4"/>
      <c r="AF61" s="4" t="str">
        <f>"      " &amp; TEXT(AB61,"#0.00%") &amp; " " &amp; "게임화면 씬 구현" &amp; "(김가연)" &amp; " " &amp; IF(M61="","",TEXT(M61,"M/D-")) &amp; IF(N61="","",TEXT(N61,"M/D")) &amp; " "</f>
        <v xml:space="preserve">      0.00% 게임화면 씬 구현(김가연) 3/16-3/16 </v>
      </c>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row>
    <row r="62" spans="1:161" outlineLevel="5">
      <c r="A62" s="116"/>
      <c r="B62" s="116"/>
      <c r="C62" s="116">
        <v>6</v>
      </c>
      <c r="D62" s="232" t="s">
        <v>1275</v>
      </c>
      <c r="E62" s="233"/>
      <c r="F62" s="233"/>
      <c r="G62" s="233"/>
      <c r="H62" s="233"/>
      <c r="I62" s="247"/>
      <c r="J62" s="233" t="s">
        <v>1245</v>
      </c>
      <c r="K62" s="233"/>
      <c r="L62" s="233" t="s">
        <v>1246</v>
      </c>
      <c r="M62" s="234">
        <v>43541</v>
      </c>
      <c r="N62" s="234">
        <v>43541</v>
      </c>
      <c r="O62" s="235"/>
      <c r="P62" s="236">
        <v>1</v>
      </c>
      <c r="Q62" s="236">
        <v>0</v>
      </c>
      <c r="R62" s="237">
        <v>1</v>
      </c>
      <c r="S62" s="237">
        <v>0</v>
      </c>
      <c r="T62" s="234"/>
      <c r="U62" s="234"/>
      <c r="V62" s="238"/>
      <c r="W62" s="239">
        <v>0</v>
      </c>
      <c r="X62" s="240">
        <v>1</v>
      </c>
      <c r="Y62" s="241" t="s">
        <v>1129</v>
      </c>
      <c r="Z62" s="242"/>
      <c r="AA62" s="243">
        <v>0</v>
      </c>
      <c r="AB62" s="244">
        <v>0</v>
      </c>
      <c r="AC62" s="123"/>
      <c r="AD62" s="4"/>
      <c r="AE62" s="4"/>
      <c r="AF62" s="4"/>
      <c r="AG62" s="4" t="str">
        <f>"" &amp; TEXT(AB62,"#0.00%") &amp; " " &amp; "속도 및 모드 선택" &amp; "(김가연)" &amp; " " &amp; IF(M62="","",TEXT(M62,"M/D-")) &amp; IF(N62="","",TEXT(N62,"M/D")) &amp; " "</f>
        <v xml:space="preserve">0.00% 속도 및 모드 선택(김가연) 3/17-3/17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row>
    <row r="63" spans="1:161" outlineLevel="5">
      <c r="A63" s="116"/>
      <c r="B63" s="116"/>
      <c r="C63" s="116">
        <v>6</v>
      </c>
      <c r="D63" s="232" t="s">
        <v>1276</v>
      </c>
      <c r="E63" s="233"/>
      <c r="F63" s="233"/>
      <c r="G63" s="233"/>
      <c r="H63" s="233"/>
      <c r="I63" s="247"/>
      <c r="J63" s="233" t="s">
        <v>1247</v>
      </c>
      <c r="K63" s="233"/>
      <c r="L63" s="233"/>
      <c r="M63" s="234">
        <v>43543</v>
      </c>
      <c r="N63" s="234">
        <v>43546</v>
      </c>
      <c r="O63" s="235"/>
      <c r="P63" s="236">
        <v>4</v>
      </c>
      <c r="Q63" s="236">
        <v>0</v>
      </c>
      <c r="R63" s="237">
        <v>4</v>
      </c>
      <c r="S63" s="237">
        <v>0</v>
      </c>
      <c r="T63" s="234"/>
      <c r="U63" s="234"/>
      <c r="V63" s="238"/>
      <c r="W63" s="239">
        <v>0</v>
      </c>
      <c r="X63" s="240">
        <v>1</v>
      </c>
      <c r="Y63" s="241" t="s">
        <v>1244</v>
      </c>
      <c r="Z63" s="242"/>
      <c r="AA63" s="243">
        <v>0</v>
      </c>
      <c r="AB63" s="244">
        <v>0</v>
      </c>
      <c r="AC63" s="123"/>
      <c r="AD63" s="4"/>
      <c r="AE63" s="4"/>
      <c r="AF63" s="4"/>
      <c r="AG63" s="4" t="str">
        <f>"  " &amp; TEXT(AB63,"#0.00%") &amp; " " &amp; "12곡 노트 생성" &amp; "(김도형, 김가연)" &amp; " " &amp; IF(M63="","",TEXT(M63,"M/D-")) &amp; IF(N63="","",TEXT(N63,"M/D")) &amp; " "</f>
        <v xml:space="preserve">  0.00% 12곡 노트 생성(김도형, 김가연) 3/19-3/22 </v>
      </c>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row>
    <row r="64" spans="1:161" outlineLevel="5">
      <c r="A64" s="116"/>
      <c r="B64" s="116"/>
      <c r="C64" s="116">
        <v>6</v>
      </c>
      <c r="D64" s="232" t="s">
        <v>1277</v>
      </c>
      <c r="E64" s="233"/>
      <c r="F64" s="233"/>
      <c r="G64" s="233"/>
      <c r="H64" s="233"/>
      <c r="I64" s="247"/>
      <c r="J64" s="233" t="s">
        <v>1248</v>
      </c>
      <c r="K64" s="233"/>
      <c r="L64" s="233" t="s">
        <v>1249</v>
      </c>
      <c r="M64" s="234">
        <v>43541</v>
      </c>
      <c r="N64" s="234">
        <v>43541</v>
      </c>
      <c r="O64" s="235"/>
      <c r="P64" s="236">
        <v>1</v>
      </c>
      <c r="Q64" s="236">
        <v>0</v>
      </c>
      <c r="R64" s="237">
        <v>1</v>
      </c>
      <c r="S64" s="237">
        <v>0</v>
      </c>
      <c r="T64" s="234"/>
      <c r="U64" s="234"/>
      <c r="V64" s="238"/>
      <c r="W64" s="239">
        <v>0</v>
      </c>
      <c r="X64" s="240">
        <v>1</v>
      </c>
      <c r="Y64" s="241" t="s">
        <v>1129</v>
      </c>
      <c r="Z64" s="242"/>
      <c r="AA64" s="243">
        <v>0</v>
      </c>
      <c r="AB64" s="244">
        <v>0</v>
      </c>
      <c r="AC64" s="123"/>
      <c r="AD64" s="4"/>
      <c r="AE64" s="4"/>
      <c r="AF64" s="4"/>
      <c r="AG64" s="4" t="str">
        <f>"" &amp; TEXT(AB64,"#0.00%") &amp; " " &amp; "게임 시작 로딩 기능 구현" &amp; "(김가연)" &amp; " " &amp; IF(M64="","",TEXT(M64,"M/D-")) &amp; IF(N64="","",TEXT(N64,"M/D")) &amp; " "</f>
        <v xml:space="preserve">0.00% 게임 시작 로딩 기능 구현(김가연) 3/17-3/17 </v>
      </c>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row>
    <row r="65" spans="1:161" outlineLevel="5">
      <c r="A65" s="116"/>
      <c r="B65" s="116"/>
      <c r="C65" s="116">
        <v>6</v>
      </c>
      <c r="D65" s="232" t="s">
        <v>1278</v>
      </c>
      <c r="E65" s="233"/>
      <c r="F65" s="233"/>
      <c r="G65" s="233"/>
      <c r="H65" s="233"/>
      <c r="I65" s="247"/>
      <c r="J65" s="233" t="s">
        <v>1233</v>
      </c>
      <c r="K65" s="233"/>
      <c r="L65" s="233"/>
      <c r="M65" s="234">
        <v>43544</v>
      </c>
      <c r="N65" s="234">
        <v>43546</v>
      </c>
      <c r="O65" s="235"/>
      <c r="P65" s="236">
        <v>3</v>
      </c>
      <c r="Q65" s="236">
        <v>0</v>
      </c>
      <c r="R65" s="237">
        <v>3</v>
      </c>
      <c r="S65" s="237">
        <v>0</v>
      </c>
      <c r="T65" s="234"/>
      <c r="U65" s="234"/>
      <c r="V65" s="238"/>
      <c r="W65" s="239">
        <v>0</v>
      </c>
      <c r="X65" s="240">
        <v>1</v>
      </c>
      <c r="Y65" s="241" t="s">
        <v>1172</v>
      </c>
      <c r="Z65" s="242"/>
      <c r="AA65" s="243">
        <v>0</v>
      </c>
      <c r="AB65" s="244">
        <v>0</v>
      </c>
      <c r="AC65" s="123"/>
      <c r="AD65" s="4"/>
      <c r="AE65" s="4"/>
      <c r="AF65" s="4"/>
      <c r="AG65" s="4" t="str">
        <f>"   " &amp; TEXT(AB65,"#0.00%") &amp; " " &amp; "화면에 노트 구현" &amp; "(김가연, 김도형)" &amp; " " &amp; IF(M65="","",TEXT(M65,"M/D-")) &amp; IF(N65="","",TEXT(N65,"M/D")) &amp; " "</f>
        <v xml:space="preserve">   0.00% 화면에 노트 구현(김가연, 김도형) 3/20-3/22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row>
    <row r="66" spans="1:161" outlineLevel="5">
      <c r="A66" s="116"/>
      <c r="B66" s="116"/>
      <c r="C66" s="116">
        <v>6</v>
      </c>
      <c r="D66" s="232" t="s">
        <v>1279</v>
      </c>
      <c r="E66" s="233"/>
      <c r="F66" s="233"/>
      <c r="G66" s="233"/>
      <c r="H66" s="233"/>
      <c r="I66" s="247"/>
      <c r="J66" s="233" t="s">
        <v>1234</v>
      </c>
      <c r="K66" s="233"/>
      <c r="L66" s="233" t="s">
        <v>1251</v>
      </c>
      <c r="M66" s="234">
        <v>43544</v>
      </c>
      <c r="N66" s="234">
        <v>43544</v>
      </c>
      <c r="O66" s="235"/>
      <c r="P66" s="236">
        <v>1</v>
      </c>
      <c r="Q66" s="236">
        <v>0</v>
      </c>
      <c r="R66" s="237">
        <v>1</v>
      </c>
      <c r="S66" s="237">
        <v>0</v>
      </c>
      <c r="T66" s="234"/>
      <c r="U66" s="234"/>
      <c r="V66" s="238"/>
      <c r="W66" s="239">
        <v>0</v>
      </c>
      <c r="X66" s="240">
        <v>1</v>
      </c>
      <c r="Y66" s="241" t="s">
        <v>1129</v>
      </c>
      <c r="Z66" s="242"/>
      <c r="AA66" s="243">
        <v>0</v>
      </c>
      <c r="AB66" s="244">
        <v>0</v>
      </c>
      <c r="AC66" s="123"/>
      <c r="AD66" s="4"/>
      <c r="AE66" s="4"/>
      <c r="AF66" s="4"/>
      <c r="AG66" s="4" t="str">
        <f>"   " &amp; TEXT(AB66,"#0.00%") &amp; " " &amp; "노트 판정 스크립트 구현" &amp; "(김가연)" &amp; " " &amp; IF(M66="","",TEXT(M66,"M/D-")) &amp; IF(N66="","",TEXT(N66,"M/D")) &amp; " "</f>
        <v xml:space="preserve">   0.00% 노트 판정 스크립트 구현(김가연) 3/20-3/20 </v>
      </c>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row>
    <row r="67" spans="1:161" outlineLevel="5">
      <c r="A67" s="116"/>
      <c r="B67" s="116"/>
      <c r="C67" s="116">
        <v>6</v>
      </c>
      <c r="D67" s="232" t="s">
        <v>1280</v>
      </c>
      <c r="E67" s="233"/>
      <c r="F67" s="233"/>
      <c r="G67" s="233"/>
      <c r="H67" s="233"/>
      <c r="I67" s="247"/>
      <c r="J67" s="233" t="s">
        <v>1235</v>
      </c>
      <c r="K67" s="233"/>
      <c r="L67" s="233"/>
      <c r="M67" s="234">
        <v>43545</v>
      </c>
      <c r="N67" s="234">
        <v>43545</v>
      </c>
      <c r="O67" s="235"/>
      <c r="P67" s="236">
        <v>1</v>
      </c>
      <c r="Q67" s="236">
        <v>0</v>
      </c>
      <c r="R67" s="237">
        <v>1</v>
      </c>
      <c r="S67" s="237">
        <v>0</v>
      </c>
      <c r="T67" s="234"/>
      <c r="U67" s="234"/>
      <c r="V67" s="238"/>
      <c r="W67" s="239">
        <v>0</v>
      </c>
      <c r="X67" s="240">
        <v>1</v>
      </c>
      <c r="Y67" s="241" t="s">
        <v>1129</v>
      </c>
      <c r="Z67" s="242"/>
      <c r="AA67" s="243">
        <v>0</v>
      </c>
      <c r="AB67" s="244">
        <v>0</v>
      </c>
      <c r="AC67" s="123"/>
      <c r="AD67" s="4"/>
      <c r="AE67" s="4"/>
      <c r="AF67" s="4"/>
      <c r="AG67" s="4" t="str">
        <f>"    " &amp; TEXT(AB67,"#0.00%") &amp; " " &amp; "노트 타격 효과 구현" &amp; "(김가연)" &amp; " " &amp; IF(M67="","",TEXT(M67,"M/D-")) &amp; IF(N67="","",TEXT(N67,"M/D")) &amp; " "</f>
        <v xml:space="preserve">    0.00% 노트 타격 효과 구현(김가연) 3/21-3/21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row>
    <row r="68" spans="1:161" outlineLevel="5">
      <c r="A68" s="116"/>
      <c r="B68" s="116"/>
      <c r="C68" s="116">
        <v>6</v>
      </c>
      <c r="D68" s="232" t="s">
        <v>1281</v>
      </c>
      <c r="E68" s="233"/>
      <c r="F68" s="233"/>
      <c r="G68" s="233"/>
      <c r="H68" s="233"/>
      <c r="I68" s="247"/>
      <c r="J68" s="247" t="s">
        <v>1252</v>
      </c>
      <c r="K68" s="233"/>
      <c r="L68" s="233" t="s">
        <v>1253</v>
      </c>
      <c r="M68" s="234">
        <v>43547</v>
      </c>
      <c r="N68" s="234">
        <v>43548</v>
      </c>
      <c r="O68" s="235"/>
      <c r="P68" s="236">
        <v>2</v>
      </c>
      <c r="Q68" s="236">
        <v>0</v>
      </c>
      <c r="R68" s="237">
        <v>2</v>
      </c>
      <c r="S68" s="237">
        <v>0</v>
      </c>
      <c r="T68" s="234"/>
      <c r="U68" s="234"/>
      <c r="V68" s="238"/>
      <c r="W68" s="239">
        <v>0</v>
      </c>
      <c r="X68" s="240">
        <v>1</v>
      </c>
      <c r="Y68" s="241" t="s">
        <v>1129</v>
      </c>
      <c r="Z68" s="242"/>
      <c r="AA68" s="243">
        <v>0</v>
      </c>
      <c r="AB68" s="244">
        <v>0</v>
      </c>
      <c r="AC68" s="123"/>
      <c r="AD68" s="4"/>
      <c r="AE68" s="4"/>
      <c r="AF68" s="4"/>
      <c r="AG68" s="4" t="str">
        <f>"      " &amp; TEXT(AB68,"#0.00%") &amp; " " &amp; "콤보에 따른 화면 표시" &amp; "(김가연)" &amp; " " &amp; IF(M68="","",TEXT(M68,"M/D-")) &amp; IF(N68="","",TEXT(N68,"M/D")) &amp; " "</f>
        <v xml:space="preserve">      0.00% 콤보에 따른 화면 표시(김가연) 3/23-3/24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row>
    <row r="69" spans="1:161" outlineLevel="5">
      <c r="A69" s="116"/>
      <c r="B69" s="116"/>
      <c r="C69" s="116">
        <v>6</v>
      </c>
      <c r="D69" s="232" t="s">
        <v>1282</v>
      </c>
      <c r="E69" s="233"/>
      <c r="F69" s="233"/>
      <c r="G69" s="233"/>
      <c r="H69" s="233"/>
      <c r="I69" s="247"/>
      <c r="J69" s="233" t="s">
        <v>1254</v>
      </c>
      <c r="K69" s="233"/>
      <c r="L69" s="233" t="s">
        <v>1255</v>
      </c>
      <c r="M69" s="234">
        <v>43547</v>
      </c>
      <c r="N69" s="234">
        <v>43548</v>
      </c>
      <c r="O69" s="235"/>
      <c r="P69" s="236">
        <v>2</v>
      </c>
      <c r="Q69" s="236">
        <v>0</v>
      </c>
      <c r="R69" s="237">
        <v>2</v>
      </c>
      <c r="S69" s="237">
        <v>0</v>
      </c>
      <c r="T69" s="234"/>
      <c r="U69" s="234"/>
      <c r="V69" s="238"/>
      <c r="W69" s="239">
        <v>0</v>
      </c>
      <c r="X69" s="240">
        <v>1</v>
      </c>
      <c r="Y69" s="241" t="s">
        <v>1129</v>
      </c>
      <c r="Z69" s="242"/>
      <c r="AA69" s="243">
        <v>0</v>
      </c>
      <c r="AB69" s="244">
        <v>0</v>
      </c>
      <c r="AC69" s="123"/>
      <c r="AD69" s="4"/>
      <c r="AE69" s="4"/>
      <c r="AF69" s="4"/>
      <c r="AG69" s="4" t="str">
        <f>"      " &amp; TEXT(AB69,"#0.00%") &amp; " " &amp; "콤보에 따른 효과 구현" &amp; "(김가연)" &amp; " " &amp; IF(M69="","",TEXT(M69,"M/D-")) &amp; IF(N69="","",TEXT(N69,"M/D")) &amp; " "</f>
        <v xml:space="preserve">      0.00% 콤보에 따른 효과 구현(김가연) 3/23-3/24 </v>
      </c>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row>
    <row r="70" spans="1:161" outlineLevel="5">
      <c r="A70" s="116"/>
      <c r="B70" s="116"/>
      <c r="C70" s="116">
        <v>6</v>
      </c>
      <c r="D70" s="232" t="s">
        <v>1283</v>
      </c>
      <c r="E70" s="233"/>
      <c r="F70" s="233"/>
      <c r="G70" s="233"/>
      <c r="H70" s="233"/>
      <c r="I70" s="247"/>
      <c r="J70" s="233" t="s">
        <v>1190</v>
      </c>
      <c r="K70" s="233"/>
      <c r="L70" s="247" t="s">
        <v>1257</v>
      </c>
      <c r="M70" s="234">
        <v>43547</v>
      </c>
      <c r="N70" s="234">
        <v>43547</v>
      </c>
      <c r="O70" s="235"/>
      <c r="P70" s="236">
        <v>1</v>
      </c>
      <c r="Q70" s="236">
        <v>0</v>
      </c>
      <c r="R70" s="237">
        <v>1</v>
      </c>
      <c r="S70" s="237">
        <v>0</v>
      </c>
      <c r="T70" s="234"/>
      <c r="U70" s="234"/>
      <c r="V70" s="238"/>
      <c r="W70" s="239">
        <v>0</v>
      </c>
      <c r="X70" s="240">
        <v>1</v>
      </c>
      <c r="Y70" s="241" t="s">
        <v>1129</v>
      </c>
      <c r="Z70" s="242"/>
      <c r="AA70" s="243">
        <v>0</v>
      </c>
      <c r="AB70" s="244">
        <v>0</v>
      </c>
      <c r="AC70" s="123"/>
      <c r="AD70" s="4"/>
      <c r="AE70" s="4"/>
      <c r="AF70" s="4"/>
      <c r="AG70" s="4" t="str">
        <f>"      " &amp; TEXT(AB70,"#0.00%") &amp; " " &amp; "화면 터치 시의 씬 구현" &amp; "(김가연)" &amp; " " &amp; IF(M70="","",TEXT(M70,"M/D-")) &amp; IF(N70="","",TEXT(N70,"M/D")) &amp; " "</f>
        <v xml:space="preserve">      0.00% 화면 터치 시의 씬 구현(김가연) 3/23-3/23 </v>
      </c>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row>
    <row r="71" spans="1:161" outlineLevel="5">
      <c r="A71" s="116"/>
      <c r="B71" s="116"/>
      <c r="C71" s="116">
        <v>6</v>
      </c>
      <c r="D71" s="232" t="s">
        <v>1284</v>
      </c>
      <c r="E71" s="233"/>
      <c r="F71" s="233"/>
      <c r="G71" s="233"/>
      <c r="H71" s="233"/>
      <c r="I71" s="247"/>
      <c r="J71" s="233" t="s">
        <v>1261</v>
      </c>
      <c r="K71" s="233"/>
      <c r="L71" s="233"/>
      <c r="M71" s="234">
        <v>43542</v>
      </c>
      <c r="N71" s="234">
        <v>43546</v>
      </c>
      <c r="O71" s="235"/>
      <c r="P71" s="236">
        <v>5</v>
      </c>
      <c r="Q71" s="236">
        <v>0</v>
      </c>
      <c r="R71" s="237">
        <v>5</v>
      </c>
      <c r="S71" s="237">
        <v>0</v>
      </c>
      <c r="T71" s="234"/>
      <c r="U71" s="234"/>
      <c r="V71" s="238"/>
      <c r="W71" s="239">
        <v>0</v>
      </c>
      <c r="X71" s="240">
        <v>1</v>
      </c>
      <c r="Y71" s="241" t="s">
        <v>1123</v>
      </c>
      <c r="Z71" s="242"/>
      <c r="AA71" s="243">
        <v>0</v>
      </c>
      <c r="AB71" s="244">
        <v>0</v>
      </c>
      <c r="AC71" s="123"/>
      <c r="AD71" s="4"/>
      <c r="AE71" s="4"/>
      <c r="AF71" s="4"/>
      <c r="AG71" s="4" t="str">
        <f>" " &amp; TEXT(AB71,"#0.00%") &amp; " " &amp; "노트 자동 생성 검토" &amp; "(김도형)" &amp; " " &amp; IF(M71="","",TEXT(M71,"M/D-")) &amp; IF(N71="","",TEXT(N71,"M/D")) &amp; " "</f>
        <v xml:space="preserve"> 0.00% 노트 자동 생성 검토(김도형) 3/18-3/22 </v>
      </c>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row>
    <row r="72" spans="1:161" outlineLevel="5">
      <c r="A72" s="116"/>
      <c r="B72" s="116"/>
      <c r="C72" s="116">
        <v>6</v>
      </c>
      <c r="D72" s="232" t="s">
        <v>1285</v>
      </c>
      <c r="E72" s="233"/>
      <c r="F72" s="233"/>
      <c r="G72" s="233"/>
      <c r="H72" s="233"/>
      <c r="I72" s="233"/>
      <c r="J72" s="247" t="s">
        <v>1258</v>
      </c>
      <c r="K72" s="233"/>
      <c r="L72" s="233"/>
      <c r="M72" s="234">
        <v>43547</v>
      </c>
      <c r="N72" s="234">
        <v>43553</v>
      </c>
      <c r="O72" s="235"/>
      <c r="P72" s="236">
        <v>7</v>
      </c>
      <c r="Q72" s="236">
        <v>0</v>
      </c>
      <c r="R72" s="237">
        <v>7</v>
      </c>
      <c r="S72" s="237">
        <v>0</v>
      </c>
      <c r="T72" s="234"/>
      <c r="U72" s="234"/>
      <c r="V72" s="238"/>
      <c r="W72" s="239">
        <v>0</v>
      </c>
      <c r="X72" s="240">
        <v>1</v>
      </c>
      <c r="Y72" s="241" t="s">
        <v>1123</v>
      </c>
      <c r="Z72" s="242"/>
      <c r="AA72" s="243">
        <v>0</v>
      </c>
      <c r="AB72" s="244">
        <v>0</v>
      </c>
      <c r="AC72" s="123"/>
      <c r="AD72" s="4"/>
      <c r="AE72" s="4"/>
      <c r="AF72" s="4"/>
      <c r="AG72" s="4" t="str">
        <f>"      " &amp; TEXT(AB72,"#0.00%") &amp; " " &amp; "FFT로 오디오 분석" &amp; "(김도형)" &amp; " " &amp; IF(M72="","",TEXT(M72,"M/D-")) &amp; IF(N72="","",TEXT(N72,"M/D")) &amp; " "</f>
        <v xml:space="preserve">      0.00% FFT로 오디오 분석(김도형) 3/23-3/29 </v>
      </c>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row>
    <row r="73" spans="1:161" outlineLevel="5">
      <c r="A73" s="116"/>
      <c r="B73" s="116"/>
      <c r="C73" s="116">
        <v>6</v>
      </c>
      <c r="D73" s="232" t="s">
        <v>1286</v>
      </c>
      <c r="E73" s="233"/>
      <c r="F73" s="233"/>
      <c r="G73" s="233"/>
      <c r="H73" s="233"/>
      <c r="I73" s="233"/>
      <c r="J73" s="247" t="s">
        <v>1259</v>
      </c>
      <c r="K73" s="233"/>
      <c r="L73" s="233"/>
      <c r="M73" s="234">
        <v>43554</v>
      </c>
      <c r="N73" s="234">
        <v>43558</v>
      </c>
      <c r="O73" s="235"/>
      <c r="P73" s="236">
        <v>5</v>
      </c>
      <c r="Q73" s="236">
        <v>0</v>
      </c>
      <c r="R73" s="237">
        <v>5</v>
      </c>
      <c r="S73" s="237">
        <v>0</v>
      </c>
      <c r="T73" s="234"/>
      <c r="U73" s="234"/>
      <c r="V73" s="238"/>
      <c r="W73" s="239">
        <v>0</v>
      </c>
      <c r="X73" s="240">
        <v>1</v>
      </c>
      <c r="Y73" s="241" t="s">
        <v>1123</v>
      </c>
      <c r="Z73" s="242"/>
      <c r="AA73" s="243">
        <v>0</v>
      </c>
      <c r="AB73" s="244">
        <v>0</v>
      </c>
      <c r="AC73" s="123"/>
      <c r="AD73" s="4"/>
      <c r="AE73" s="4"/>
      <c r="AF73" s="4"/>
      <c r="AG73" s="4"/>
      <c r="AH73" s="4" t="str">
        <f>"      " &amp; TEXT(AB73,"#0.00%") &amp; " " &amp; "분석자료에서 최고 Hz추출" &amp; "(김도형)" &amp; " " &amp; IF(M73="","",TEXT(M73,"M/D-")) &amp; IF(N73="","",TEXT(N73,"M/D")) &amp; " "</f>
        <v xml:space="preserve">      0.00% 분석자료에서 최고 Hz추출(김도형) 3/30-4/3 </v>
      </c>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row>
    <row r="74" spans="1:161" outlineLevel="5">
      <c r="A74" s="116"/>
      <c r="B74" s="116"/>
      <c r="C74" s="116">
        <v>6</v>
      </c>
      <c r="D74" s="232" t="s">
        <v>1287</v>
      </c>
      <c r="E74" s="233"/>
      <c r="F74" s="233"/>
      <c r="G74" s="233"/>
      <c r="H74" s="233"/>
      <c r="I74" s="233"/>
      <c r="J74" s="247" t="s">
        <v>1260</v>
      </c>
      <c r="K74" s="233"/>
      <c r="L74" s="233"/>
      <c r="M74" s="234">
        <v>43558</v>
      </c>
      <c r="N74" s="234">
        <v>43562</v>
      </c>
      <c r="O74" s="235"/>
      <c r="P74" s="236">
        <v>5</v>
      </c>
      <c r="Q74" s="236">
        <v>0</v>
      </c>
      <c r="R74" s="237">
        <v>5</v>
      </c>
      <c r="S74" s="237">
        <v>0</v>
      </c>
      <c r="T74" s="234"/>
      <c r="U74" s="234"/>
      <c r="V74" s="238"/>
      <c r="W74" s="239">
        <v>0</v>
      </c>
      <c r="X74" s="240">
        <v>1</v>
      </c>
      <c r="Y74" s="241" t="s">
        <v>1123</v>
      </c>
      <c r="Z74" s="242"/>
      <c r="AA74" s="243">
        <v>0</v>
      </c>
      <c r="AB74" s="244">
        <v>0</v>
      </c>
      <c r="AC74" s="123"/>
      <c r="AD74" s="4"/>
      <c r="AE74" s="4"/>
      <c r="AF74" s="4"/>
      <c r="AG74" s="4"/>
      <c r="AH74" s="4"/>
      <c r="AI74" s="4" t="str">
        <f>"   " &amp; TEXT(AB74,"#0.00%") &amp; " " &amp; "노트생성" &amp; "(김도형)" &amp; " " &amp; IF(M74="","",TEXT(M74,"M/D-")) &amp; IF(N74="","",TEXT(N74,"M/D")) &amp; " "</f>
        <v xml:space="preserve">   0.00% 노트생성(김도형) 4/3-4/7 </v>
      </c>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row>
    <row r="75" spans="1:161" outlineLevel="5">
      <c r="A75" s="116"/>
      <c r="B75" s="116"/>
      <c r="C75" s="116">
        <v>6</v>
      </c>
      <c r="D75" s="232" t="s">
        <v>1288</v>
      </c>
      <c r="E75" s="233"/>
      <c r="F75" s="233"/>
      <c r="G75" s="233"/>
      <c r="H75" s="233"/>
      <c r="I75" s="233"/>
      <c r="J75" s="247" t="s">
        <v>1262</v>
      </c>
      <c r="K75" s="233"/>
      <c r="L75" s="233"/>
      <c r="M75" s="234">
        <v>43549</v>
      </c>
      <c r="N75" s="234">
        <v>43555</v>
      </c>
      <c r="O75" s="235"/>
      <c r="P75" s="236">
        <v>7</v>
      </c>
      <c r="Q75" s="236">
        <v>0</v>
      </c>
      <c r="R75" s="237">
        <v>7</v>
      </c>
      <c r="S75" s="237">
        <v>0</v>
      </c>
      <c r="T75" s="234"/>
      <c r="U75" s="234"/>
      <c r="V75" s="238"/>
      <c r="W75" s="239">
        <v>0</v>
      </c>
      <c r="X75" s="240">
        <v>1</v>
      </c>
      <c r="Y75" s="241" t="s">
        <v>1263</v>
      </c>
      <c r="Z75" s="242"/>
      <c r="AA75" s="243">
        <v>0</v>
      </c>
      <c r="AB75" s="244">
        <v>0</v>
      </c>
      <c r="AC75" s="123"/>
      <c r="AD75" s="4"/>
      <c r="AE75" s="4"/>
      <c r="AF75" s="4"/>
      <c r="AG75" s="4"/>
      <c r="AH75" s="4" t="str">
        <f>" " &amp; TEXT(AB75,"#0.00%") &amp; " " &amp; "버그 수정 및 검토" &amp; "(김가연, 김가연)" &amp; " " &amp; IF(M75="","",TEXT(M75,"M/D-")) &amp; IF(N75="","",TEXT(N75,"M/D")) &amp; " "</f>
        <v xml:space="preserve"> 0.00% 버그 수정 및 검토(김가연, 김가연) 3/25-3/31 </v>
      </c>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row>
    <row r="76" spans="1:161" outlineLevel="4">
      <c r="A76" s="116"/>
      <c r="B76" s="116" t="s">
        <v>1071</v>
      </c>
      <c r="C76" s="116">
        <v>5</v>
      </c>
      <c r="D76" s="232" t="s">
        <v>1027</v>
      </c>
      <c r="E76" s="233"/>
      <c r="F76" s="233"/>
      <c r="G76" s="233"/>
      <c r="H76" s="233"/>
      <c r="I76" s="247" t="s">
        <v>1186</v>
      </c>
      <c r="J76" s="233"/>
      <c r="K76" s="233"/>
      <c r="L76" s="233"/>
      <c r="M76" s="234">
        <v>43556</v>
      </c>
      <c r="N76" s="234">
        <v>43556</v>
      </c>
      <c r="O76" s="235"/>
      <c r="P76" s="236">
        <v>1</v>
      </c>
      <c r="Q76" s="236">
        <v>0</v>
      </c>
      <c r="R76" s="237">
        <v>1</v>
      </c>
      <c r="S76" s="237">
        <v>0</v>
      </c>
      <c r="T76" s="234"/>
      <c r="U76" s="234"/>
      <c r="V76" s="238">
        <v>0</v>
      </c>
      <c r="W76" s="239">
        <v>0</v>
      </c>
      <c r="X76" s="240"/>
      <c r="Y76" s="241"/>
      <c r="Z76" s="242"/>
      <c r="AA76" s="243">
        <v>0</v>
      </c>
      <c r="AB76" s="244">
        <v>0</v>
      </c>
      <c r="AC76" s="123"/>
      <c r="AD76" s="4"/>
      <c r="AE76" s="4"/>
      <c r="AF76" s="4"/>
      <c r="AG76" s="4"/>
      <c r="AH76" s="4"/>
      <c r="AI76" s="4" t="str">
        <f>" " &amp; TEXT(AB76,"#0.00%") &amp; " " &amp; "게임모드" &amp; " " &amp; IF(M76="","",TEXT(M76,"M/D-")) &amp; IF(N76="","",TEXT(N76,"M/D")) &amp; " "</f>
        <v xml:space="preserve"> 0.00% 게임모드 4/1-4/1 </v>
      </c>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row>
    <row r="77" spans="1:161" outlineLevel="5">
      <c r="A77" s="116"/>
      <c r="B77" s="116"/>
      <c r="C77" s="116">
        <v>6</v>
      </c>
      <c r="D77" s="232" t="s">
        <v>1289</v>
      </c>
      <c r="E77" s="233"/>
      <c r="F77" s="233"/>
      <c r="G77" s="233"/>
      <c r="H77" s="233"/>
      <c r="I77" s="247"/>
      <c r="J77" s="233" t="s">
        <v>1271</v>
      </c>
      <c r="K77" s="233"/>
      <c r="L77" s="233" t="s">
        <v>1295</v>
      </c>
      <c r="M77" s="234">
        <v>43556</v>
      </c>
      <c r="N77" s="234">
        <v>43556</v>
      </c>
      <c r="O77" s="235"/>
      <c r="P77" s="236">
        <v>1</v>
      </c>
      <c r="Q77" s="236">
        <v>0</v>
      </c>
      <c r="R77" s="237">
        <v>1</v>
      </c>
      <c r="S77" s="237">
        <v>0</v>
      </c>
      <c r="T77" s="234"/>
      <c r="U77" s="234"/>
      <c r="V77" s="238"/>
      <c r="W77" s="239">
        <v>0</v>
      </c>
      <c r="X77" s="240">
        <v>1</v>
      </c>
      <c r="Y77" s="241" t="s">
        <v>1129</v>
      </c>
      <c r="Z77" s="242"/>
      <c r="AA77" s="243">
        <v>0</v>
      </c>
      <c r="AB77" s="244">
        <v>0</v>
      </c>
      <c r="AC77" s="123"/>
      <c r="AD77" s="4"/>
      <c r="AE77" s="4"/>
      <c r="AF77" s="4"/>
      <c r="AG77" s="4"/>
      <c r="AH77" s="4"/>
      <c r="AI77" s="4" t="str">
        <f>" " &amp; TEXT(AB77,"#0.00%") &amp; " " &amp; "게임선택 화면 씬" &amp; "(김가연)" &amp; " " &amp; IF(M77="","",TEXT(M77,"M/D-")) &amp; IF(N77="","",TEXT(N77,"M/D")) &amp; " "</f>
        <v xml:space="preserve"> 0.00% 게임선택 화면 씬(김가연) 4/1-4/1 </v>
      </c>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row>
    <row r="78" spans="1:161" outlineLevel="5">
      <c r="A78" s="116"/>
      <c r="B78" s="116"/>
      <c r="C78" s="116">
        <v>6</v>
      </c>
      <c r="D78" s="232" t="s">
        <v>1290</v>
      </c>
      <c r="E78" s="233"/>
      <c r="F78" s="233"/>
      <c r="G78" s="233"/>
      <c r="H78" s="233"/>
      <c r="I78" s="247"/>
      <c r="J78" s="233" t="s">
        <v>1272</v>
      </c>
      <c r="K78" s="233"/>
      <c r="L78" s="233" t="s">
        <v>1291</v>
      </c>
      <c r="M78" s="234"/>
      <c r="N78" s="234"/>
      <c r="O78" s="235"/>
      <c r="P78" s="236">
        <v>0</v>
      </c>
      <c r="Q78" s="236">
        <v>0</v>
      </c>
      <c r="R78" s="237">
        <v>0</v>
      </c>
      <c r="S78" s="237">
        <v>0</v>
      </c>
      <c r="T78" s="234"/>
      <c r="U78" s="234"/>
      <c r="V78" s="238">
        <v>0</v>
      </c>
      <c r="W78" s="239">
        <v>0</v>
      </c>
      <c r="X78" s="240"/>
      <c r="Y78" s="241"/>
      <c r="Z78" s="242"/>
      <c r="AA78" s="243">
        <v>0</v>
      </c>
      <c r="AB78" s="244">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row>
    <row r="79" spans="1:161" outlineLevel="5">
      <c r="A79" s="116"/>
      <c r="B79" s="116"/>
      <c r="C79" s="116">
        <v>6</v>
      </c>
      <c r="D79" s="232" t="s">
        <v>1293</v>
      </c>
      <c r="E79" s="233"/>
      <c r="F79" s="233"/>
      <c r="G79" s="233"/>
      <c r="H79" s="233"/>
      <c r="I79" s="247"/>
      <c r="J79" s="247" t="s">
        <v>1248</v>
      </c>
      <c r="K79" s="233"/>
      <c r="L79" s="233" t="s">
        <v>1292</v>
      </c>
      <c r="M79" s="234"/>
      <c r="N79" s="234"/>
      <c r="O79" s="235"/>
      <c r="P79" s="236">
        <v>0</v>
      </c>
      <c r="Q79" s="236">
        <v>0</v>
      </c>
      <c r="R79" s="237">
        <v>0</v>
      </c>
      <c r="S79" s="237">
        <v>0</v>
      </c>
      <c r="T79" s="234"/>
      <c r="U79" s="234"/>
      <c r="V79" s="238">
        <v>0</v>
      </c>
      <c r="W79" s="239">
        <v>0</v>
      </c>
      <c r="X79" s="240"/>
      <c r="Y79" s="241"/>
      <c r="Z79" s="242"/>
      <c r="AA79" s="243">
        <v>0</v>
      </c>
      <c r="AB79" s="244">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row>
    <row r="80" spans="1:161" outlineLevel="5">
      <c r="A80" s="116"/>
      <c r="B80" s="116"/>
      <c r="C80" s="116">
        <v>6</v>
      </c>
      <c r="D80" s="232" t="s">
        <v>1294</v>
      </c>
      <c r="E80" s="233"/>
      <c r="F80" s="233"/>
      <c r="G80" s="233"/>
      <c r="H80" s="233"/>
      <c r="I80" s="247"/>
      <c r="J80" s="233" t="s">
        <v>1296</v>
      </c>
      <c r="K80" s="233"/>
      <c r="L80" s="233"/>
      <c r="M80" s="234"/>
      <c r="N80" s="234"/>
      <c r="O80" s="235"/>
      <c r="P80" s="236">
        <v>0</v>
      </c>
      <c r="Q80" s="236">
        <v>0</v>
      </c>
      <c r="R80" s="237">
        <v>0</v>
      </c>
      <c r="S80" s="237">
        <v>0</v>
      </c>
      <c r="T80" s="234"/>
      <c r="U80" s="234"/>
      <c r="V80" s="238">
        <v>0</v>
      </c>
      <c r="W80" s="239">
        <v>0</v>
      </c>
      <c r="X80" s="240"/>
      <c r="Y80" s="241"/>
      <c r="Z80" s="242"/>
      <c r="AA80" s="243">
        <v>0</v>
      </c>
      <c r="AB80" s="244">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row>
    <row r="81" spans="1:161" outlineLevel="5">
      <c r="A81" s="116"/>
      <c r="B81" s="116"/>
      <c r="C81" s="116">
        <v>6</v>
      </c>
      <c r="D81" s="232" t="s">
        <v>1305</v>
      </c>
      <c r="E81" s="233"/>
      <c r="F81" s="233"/>
      <c r="G81" s="233"/>
      <c r="H81" s="233"/>
      <c r="I81" s="247"/>
      <c r="J81" s="233" t="s">
        <v>1297</v>
      </c>
      <c r="K81" s="233"/>
      <c r="L81" s="233"/>
      <c r="M81" s="234"/>
      <c r="N81" s="234"/>
      <c r="O81" s="235"/>
      <c r="P81" s="236">
        <v>0</v>
      </c>
      <c r="Q81" s="236">
        <v>0</v>
      </c>
      <c r="R81" s="237">
        <v>0</v>
      </c>
      <c r="S81" s="237">
        <v>0</v>
      </c>
      <c r="T81" s="234"/>
      <c r="U81" s="234"/>
      <c r="V81" s="238">
        <v>0</v>
      </c>
      <c r="W81" s="239">
        <v>0</v>
      </c>
      <c r="X81" s="240"/>
      <c r="Y81" s="241"/>
      <c r="Z81" s="242"/>
      <c r="AA81" s="243">
        <v>0</v>
      </c>
      <c r="AB81" s="244">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row>
    <row r="82" spans="1:161" outlineLevel="5">
      <c r="A82" s="116"/>
      <c r="B82" s="116"/>
      <c r="C82" s="116">
        <v>6</v>
      </c>
      <c r="D82" s="232" t="s">
        <v>1306</v>
      </c>
      <c r="E82" s="233"/>
      <c r="F82" s="233"/>
      <c r="G82" s="233"/>
      <c r="H82" s="233"/>
      <c r="I82" s="247"/>
      <c r="J82" s="233" t="s">
        <v>1298</v>
      </c>
      <c r="K82" s="233"/>
      <c r="L82" s="233"/>
      <c r="M82" s="234"/>
      <c r="N82" s="234"/>
      <c r="O82" s="235"/>
      <c r="P82" s="236">
        <v>0</v>
      </c>
      <c r="Q82" s="236">
        <v>0</v>
      </c>
      <c r="R82" s="237">
        <v>0</v>
      </c>
      <c r="S82" s="237">
        <v>0</v>
      </c>
      <c r="T82" s="234"/>
      <c r="U82" s="234"/>
      <c r="V82" s="238">
        <v>0</v>
      </c>
      <c r="W82" s="239">
        <v>0</v>
      </c>
      <c r="X82" s="240"/>
      <c r="Y82" s="241"/>
      <c r="Z82" s="242"/>
      <c r="AA82" s="243">
        <v>0</v>
      </c>
      <c r="AB82" s="244">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row>
    <row r="83" spans="1:161" outlineLevel="5">
      <c r="A83" s="116"/>
      <c r="B83" s="116"/>
      <c r="C83" s="116">
        <v>6</v>
      </c>
      <c r="D83" s="232" t="s">
        <v>1307</v>
      </c>
      <c r="E83" s="233"/>
      <c r="F83" s="233"/>
      <c r="G83" s="233"/>
      <c r="H83" s="233"/>
      <c r="I83" s="247"/>
      <c r="J83" s="233" t="s">
        <v>1299</v>
      </c>
      <c r="K83" s="233"/>
      <c r="L83" s="233" t="s">
        <v>1300</v>
      </c>
      <c r="M83" s="234"/>
      <c r="N83" s="234"/>
      <c r="O83" s="235"/>
      <c r="P83" s="236">
        <v>0</v>
      </c>
      <c r="Q83" s="236">
        <v>0</v>
      </c>
      <c r="R83" s="237">
        <v>0</v>
      </c>
      <c r="S83" s="237">
        <v>0</v>
      </c>
      <c r="T83" s="234"/>
      <c r="U83" s="234"/>
      <c r="V83" s="238">
        <v>0</v>
      </c>
      <c r="W83" s="239">
        <v>0</v>
      </c>
      <c r="X83" s="240"/>
      <c r="Y83" s="241"/>
      <c r="Z83" s="242"/>
      <c r="AA83" s="243">
        <v>0</v>
      </c>
      <c r="AB83" s="244">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row>
    <row r="84" spans="1:161" outlineLevel="5">
      <c r="A84" s="116"/>
      <c r="B84" s="116"/>
      <c r="C84" s="116">
        <v>6</v>
      </c>
      <c r="D84" s="232" t="s">
        <v>1308</v>
      </c>
      <c r="E84" s="233"/>
      <c r="F84" s="233"/>
      <c r="G84" s="233"/>
      <c r="H84" s="233"/>
      <c r="I84" s="247"/>
      <c r="J84" s="233" t="s">
        <v>1301</v>
      </c>
      <c r="K84" s="233"/>
      <c r="L84" s="233"/>
      <c r="M84" s="234"/>
      <c r="N84" s="234"/>
      <c r="O84" s="235"/>
      <c r="P84" s="236">
        <v>0</v>
      </c>
      <c r="Q84" s="236">
        <v>0</v>
      </c>
      <c r="R84" s="237">
        <v>0</v>
      </c>
      <c r="S84" s="237">
        <v>0</v>
      </c>
      <c r="T84" s="234"/>
      <c r="U84" s="234"/>
      <c r="V84" s="238">
        <v>0</v>
      </c>
      <c r="W84" s="239">
        <v>0</v>
      </c>
      <c r="X84" s="240"/>
      <c r="Y84" s="241"/>
      <c r="Z84" s="242"/>
      <c r="AA84" s="243">
        <v>0</v>
      </c>
      <c r="AB84" s="244">
        <v>0</v>
      </c>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row>
    <row r="85" spans="1:161" outlineLevel="5">
      <c r="A85" s="116"/>
      <c r="B85" s="116"/>
      <c r="C85" s="116">
        <v>6</v>
      </c>
      <c r="D85" s="232" t="s">
        <v>1309</v>
      </c>
      <c r="E85" s="233"/>
      <c r="F85" s="233"/>
      <c r="G85" s="233"/>
      <c r="H85" s="233"/>
      <c r="I85" s="247"/>
      <c r="J85" s="233" t="s">
        <v>1302</v>
      </c>
      <c r="K85" s="233"/>
      <c r="L85" s="233"/>
      <c r="M85" s="234"/>
      <c r="N85" s="234"/>
      <c r="O85" s="235"/>
      <c r="P85" s="236">
        <v>0</v>
      </c>
      <c r="Q85" s="236">
        <v>0</v>
      </c>
      <c r="R85" s="237">
        <v>0</v>
      </c>
      <c r="S85" s="237">
        <v>0</v>
      </c>
      <c r="T85" s="234"/>
      <c r="U85" s="234"/>
      <c r="V85" s="238">
        <v>0</v>
      </c>
      <c r="W85" s="239">
        <v>0</v>
      </c>
      <c r="X85" s="240"/>
      <c r="Y85" s="241"/>
      <c r="Z85" s="242"/>
      <c r="AA85" s="243">
        <v>0</v>
      </c>
      <c r="AB85" s="244">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row>
    <row r="86" spans="1:161" outlineLevel="5">
      <c r="A86" s="116"/>
      <c r="B86" s="116"/>
      <c r="C86" s="116">
        <v>0</v>
      </c>
      <c r="D86" s="232"/>
      <c r="E86" s="233"/>
      <c r="F86" s="233"/>
      <c r="G86" s="233"/>
      <c r="H86" s="233"/>
      <c r="I86" s="247"/>
      <c r="J86" s="233"/>
      <c r="K86" s="233"/>
      <c r="L86" s="233"/>
      <c r="M86" s="234"/>
      <c r="N86" s="234"/>
      <c r="O86" s="235"/>
      <c r="P86" s="236"/>
      <c r="Q86" s="236"/>
      <c r="R86" s="237">
        <v>0</v>
      </c>
      <c r="S86" s="237">
        <v>0</v>
      </c>
      <c r="T86" s="234"/>
      <c r="U86" s="234"/>
      <c r="V86" s="238"/>
      <c r="W86" s="239">
        <v>0</v>
      </c>
      <c r="X86" s="240"/>
      <c r="Y86" s="241"/>
      <c r="Z86" s="242"/>
      <c r="AA86" s="243"/>
      <c r="AB86" s="244"/>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row>
    <row r="87" spans="1:161" outlineLevel="5">
      <c r="A87" s="116"/>
      <c r="B87" s="116"/>
      <c r="C87" s="116">
        <v>6</v>
      </c>
      <c r="D87" s="232" t="s">
        <v>1310</v>
      </c>
      <c r="E87" s="233"/>
      <c r="F87" s="233"/>
      <c r="G87" s="233"/>
      <c r="H87" s="233"/>
      <c r="I87" s="247"/>
      <c r="J87" s="233" t="s">
        <v>1248</v>
      </c>
      <c r="K87" s="233"/>
      <c r="L87" s="233" t="s">
        <v>1303</v>
      </c>
      <c r="M87" s="234"/>
      <c r="N87" s="234"/>
      <c r="O87" s="235"/>
      <c r="P87" s="236">
        <v>0</v>
      </c>
      <c r="Q87" s="236">
        <v>0</v>
      </c>
      <c r="R87" s="237">
        <v>0</v>
      </c>
      <c r="S87" s="237">
        <v>0</v>
      </c>
      <c r="T87" s="234"/>
      <c r="U87" s="234"/>
      <c r="V87" s="238">
        <v>0</v>
      </c>
      <c r="W87" s="239">
        <v>0</v>
      </c>
      <c r="X87" s="240"/>
      <c r="Y87" s="241"/>
      <c r="Z87" s="242"/>
      <c r="AA87" s="243">
        <v>0</v>
      </c>
      <c r="AB87" s="244">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row>
    <row r="88" spans="1:161" outlineLevel="5">
      <c r="A88" s="116"/>
      <c r="B88" s="116"/>
      <c r="C88" s="116">
        <v>6</v>
      </c>
      <c r="D88" s="232" t="s">
        <v>1311</v>
      </c>
      <c r="E88" s="233"/>
      <c r="F88" s="233"/>
      <c r="G88" s="233"/>
      <c r="H88" s="233"/>
      <c r="I88" s="233"/>
      <c r="J88" s="233" t="s">
        <v>1304</v>
      </c>
      <c r="K88" s="233"/>
      <c r="L88" s="233"/>
      <c r="M88" s="234"/>
      <c r="N88" s="234"/>
      <c r="O88" s="235"/>
      <c r="P88" s="236">
        <v>0</v>
      </c>
      <c r="Q88" s="236">
        <v>0</v>
      </c>
      <c r="R88" s="237">
        <v>0</v>
      </c>
      <c r="S88" s="237">
        <v>0</v>
      </c>
      <c r="T88" s="234"/>
      <c r="U88" s="234"/>
      <c r="V88" s="238">
        <v>0</v>
      </c>
      <c r="W88" s="239">
        <v>0</v>
      </c>
      <c r="X88" s="240"/>
      <c r="Y88" s="241"/>
      <c r="Z88" s="242"/>
      <c r="AA88" s="243">
        <v>0</v>
      </c>
      <c r="AB88" s="244">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row>
    <row r="89" spans="1:161" outlineLevel="5">
      <c r="A89" s="116"/>
      <c r="B89" s="116"/>
      <c r="C89" s="116">
        <v>6</v>
      </c>
      <c r="D89" s="232" t="s">
        <v>1313</v>
      </c>
      <c r="E89" s="233"/>
      <c r="F89" s="233"/>
      <c r="G89" s="233"/>
      <c r="H89" s="233"/>
      <c r="I89" s="233"/>
      <c r="J89" s="233" t="s">
        <v>1312</v>
      </c>
      <c r="K89" s="233"/>
      <c r="L89" s="233"/>
      <c r="M89" s="234"/>
      <c r="N89" s="234"/>
      <c r="O89" s="235"/>
      <c r="P89" s="236">
        <v>0</v>
      </c>
      <c r="Q89" s="236">
        <v>0</v>
      </c>
      <c r="R89" s="237">
        <v>0</v>
      </c>
      <c r="S89" s="237">
        <v>0</v>
      </c>
      <c r="T89" s="234"/>
      <c r="U89" s="234"/>
      <c r="V89" s="238">
        <v>0</v>
      </c>
      <c r="W89" s="239">
        <v>0</v>
      </c>
      <c r="X89" s="240"/>
      <c r="Y89" s="241"/>
      <c r="Z89" s="242"/>
      <c r="AA89" s="243">
        <v>0</v>
      </c>
      <c r="AB89" s="244">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row>
    <row r="90" spans="1:161" outlineLevel="5">
      <c r="A90" s="116"/>
      <c r="B90" s="116"/>
      <c r="C90" s="116">
        <v>6</v>
      </c>
      <c r="D90" s="232" t="s">
        <v>1316</v>
      </c>
      <c r="E90" s="233"/>
      <c r="F90" s="233"/>
      <c r="G90" s="233"/>
      <c r="H90" s="233"/>
      <c r="I90" s="233"/>
      <c r="J90" s="233" t="s">
        <v>1314</v>
      </c>
      <c r="K90" s="233"/>
      <c r="L90" s="233"/>
      <c r="M90" s="234"/>
      <c r="N90" s="234"/>
      <c r="O90" s="235"/>
      <c r="P90" s="236">
        <v>0</v>
      </c>
      <c r="Q90" s="236">
        <v>0</v>
      </c>
      <c r="R90" s="237">
        <v>0</v>
      </c>
      <c r="S90" s="237">
        <v>0</v>
      </c>
      <c r="T90" s="234"/>
      <c r="U90" s="234"/>
      <c r="V90" s="238">
        <v>0</v>
      </c>
      <c r="W90" s="239">
        <v>0</v>
      </c>
      <c r="X90" s="240"/>
      <c r="Y90" s="241"/>
      <c r="Z90" s="242"/>
      <c r="AA90" s="243">
        <v>0</v>
      </c>
      <c r="AB90" s="244">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row>
    <row r="91" spans="1:161" outlineLevel="5">
      <c r="A91" s="116"/>
      <c r="B91" s="116"/>
      <c r="C91" s="116">
        <v>6</v>
      </c>
      <c r="D91" s="232" t="s">
        <v>1317</v>
      </c>
      <c r="E91" s="233"/>
      <c r="F91" s="233"/>
      <c r="G91" s="233"/>
      <c r="H91" s="233"/>
      <c r="I91" s="233"/>
      <c r="J91" s="233" t="s">
        <v>1315</v>
      </c>
      <c r="K91" s="233"/>
      <c r="L91" s="233"/>
      <c r="M91" s="234"/>
      <c r="N91" s="234"/>
      <c r="O91" s="235"/>
      <c r="P91" s="236">
        <v>0</v>
      </c>
      <c r="Q91" s="236">
        <v>0</v>
      </c>
      <c r="R91" s="237">
        <v>0</v>
      </c>
      <c r="S91" s="237">
        <v>0</v>
      </c>
      <c r="T91" s="234"/>
      <c r="U91" s="234"/>
      <c r="V91" s="238">
        <v>0</v>
      </c>
      <c r="W91" s="239">
        <v>0</v>
      </c>
      <c r="X91" s="240"/>
      <c r="Y91" s="241"/>
      <c r="Z91" s="242"/>
      <c r="AA91" s="243">
        <v>0</v>
      </c>
      <c r="AB91" s="244">
        <v>0</v>
      </c>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row>
    <row r="92" spans="1:161" outlineLevel="5">
      <c r="A92" s="116"/>
      <c r="B92" s="116"/>
      <c r="C92" s="116">
        <v>6</v>
      </c>
      <c r="D92" s="232" t="s">
        <v>1319</v>
      </c>
      <c r="E92" s="233"/>
      <c r="F92" s="233"/>
      <c r="G92" s="233"/>
      <c r="H92" s="233"/>
      <c r="I92" s="233"/>
      <c r="J92" s="233" t="s">
        <v>1318</v>
      </c>
      <c r="K92" s="233"/>
      <c r="L92" s="233"/>
      <c r="M92" s="234"/>
      <c r="N92" s="234"/>
      <c r="O92" s="235"/>
      <c r="P92" s="236">
        <v>0</v>
      </c>
      <c r="Q92" s="236">
        <v>0</v>
      </c>
      <c r="R92" s="237">
        <v>0</v>
      </c>
      <c r="S92" s="237">
        <v>0</v>
      </c>
      <c r="T92" s="234"/>
      <c r="U92" s="234"/>
      <c r="V92" s="238">
        <v>0</v>
      </c>
      <c r="W92" s="239">
        <v>0</v>
      </c>
      <c r="X92" s="240"/>
      <c r="Y92" s="241"/>
      <c r="Z92" s="242"/>
      <c r="AA92" s="243">
        <v>0</v>
      </c>
      <c r="AB92" s="244">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row>
    <row r="93" spans="1:161" outlineLevel="5">
      <c r="A93" s="116"/>
      <c r="B93" s="116"/>
      <c r="C93" s="116">
        <v>6</v>
      </c>
      <c r="D93" s="232" t="s">
        <v>1320</v>
      </c>
      <c r="E93" s="233"/>
      <c r="F93" s="233"/>
      <c r="G93" s="233"/>
      <c r="H93" s="233"/>
      <c r="I93" s="233"/>
      <c r="J93" s="247" t="s">
        <v>1301</v>
      </c>
      <c r="K93" s="233"/>
      <c r="L93" s="233"/>
      <c r="M93" s="234"/>
      <c r="N93" s="234"/>
      <c r="O93" s="235"/>
      <c r="P93" s="236">
        <v>0</v>
      </c>
      <c r="Q93" s="236">
        <v>0</v>
      </c>
      <c r="R93" s="237">
        <v>0</v>
      </c>
      <c r="S93" s="237">
        <v>0</v>
      </c>
      <c r="T93" s="234"/>
      <c r="U93" s="234"/>
      <c r="V93" s="238">
        <v>0</v>
      </c>
      <c r="W93" s="239">
        <v>0</v>
      </c>
      <c r="X93" s="240"/>
      <c r="Y93" s="241"/>
      <c r="Z93" s="242"/>
      <c r="AA93" s="243">
        <v>0</v>
      </c>
      <c r="AB93" s="244">
        <v>0</v>
      </c>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row>
    <row r="94" spans="1:161" outlineLevel="5">
      <c r="A94" s="116"/>
      <c r="B94" s="116"/>
      <c r="C94" s="116">
        <v>0</v>
      </c>
      <c r="D94" s="232"/>
      <c r="E94" s="233"/>
      <c r="F94" s="233"/>
      <c r="G94" s="233"/>
      <c r="H94" s="233"/>
      <c r="I94" s="233"/>
      <c r="J94" s="233"/>
      <c r="K94" s="233"/>
      <c r="L94" s="233"/>
      <c r="M94" s="234"/>
      <c r="N94" s="234"/>
      <c r="O94" s="235"/>
      <c r="P94" s="236"/>
      <c r="Q94" s="236"/>
      <c r="R94" s="237">
        <v>0</v>
      </c>
      <c r="S94" s="237">
        <v>0</v>
      </c>
      <c r="T94" s="234"/>
      <c r="U94" s="234"/>
      <c r="V94" s="238"/>
      <c r="W94" s="239">
        <v>0</v>
      </c>
      <c r="X94" s="240"/>
      <c r="Y94" s="241"/>
      <c r="Z94" s="242"/>
      <c r="AA94" s="243"/>
      <c r="AB94" s="244"/>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row>
    <row r="95" spans="1:161" outlineLevel="3">
      <c r="A95" s="116"/>
      <c r="B95" s="116" t="s">
        <v>1071</v>
      </c>
      <c r="C95" s="116">
        <v>4</v>
      </c>
      <c r="D95" s="219" t="s">
        <v>1156</v>
      </c>
      <c r="E95" s="220"/>
      <c r="F95" s="220"/>
      <c r="G95" s="220"/>
      <c r="H95" s="221" t="s">
        <v>1166</v>
      </c>
      <c r="I95" s="221"/>
      <c r="J95" s="220"/>
      <c r="K95" s="220"/>
      <c r="L95" s="220"/>
      <c r="M95" s="222"/>
      <c r="N95" s="222"/>
      <c r="O95" s="223"/>
      <c r="P95" s="224">
        <v>0</v>
      </c>
      <c r="Q95" s="224">
        <v>0</v>
      </c>
      <c r="R95" s="225">
        <v>0</v>
      </c>
      <c r="S95" s="225">
        <v>0</v>
      </c>
      <c r="T95" s="222"/>
      <c r="U95" s="222"/>
      <c r="V95" s="226">
        <v>0</v>
      </c>
      <c r="W95" s="227">
        <v>0</v>
      </c>
      <c r="X95" s="228"/>
      <c r="Y95" s="223"/>
      <c r="Z95" s="245"/>
      <c r="AA95" s="230">
        <v>0</v>
      </c>
      <c r="AB95" s="231">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row>
    <row r="96" spans="1:161" outlineLevel="4">
      <c r="A96" s="116"/>
      <c r="B96" s="116"/>
      <c r="C96" s="116">
        <v>0</v>
      </c>
      <c r="D96" s="3"/>
      <c r="E96" s="184"/>
      <c r="F96" s="184"/>
      <c r="G96" s="184"/>
      <c r="H96" s="184"/>
      <c r="I96" s="217"/>
      <c r="J96" s="184"/>
      <c r="K96" s="184"/>
      <c r="L96" s="184"/>
      <c r="M96" s="185"/>
      <c r="N96" s="185"/>
      <c r="O96" s="186"/>
      <c r="P96" s="187"/>
      <c r="Q96" s="187"/>
      <c r="R96" s="188">
        <v>0</v>
      </c>
      <c r="S96" s="188">
        <v>0</v>
      </c>
      <c r="T96" s="185"/>
      <c r="U96" s="185"/>
      <c r="V96" s="189"/>
      <c r="W96" s="190">
        <v>0</v>
      </c>
      <c r="X96" s="191">
        <v>1</v>
      </c>
      <c r="Y96" s="216" t="s">
        <v>1128</v>
      </c>
      <c r="Z96" s="192"/>
      <c r="AA96" s="97"/>
      <c r="AB96" s="193">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row>
    <row r="97" spans="1:161" outlineLevel="4">
      <c r="A97" s="116"/>
      <c r="B97" s="116"/>
      <c r="C97" s="116">
        <v>5</v>
      </c>
      <c r="D97" s="3" t="s">
        <v>1168</v>
      </c>
      <c r="E97" s="184"/>
      <c r="F97" s="184"/>
      <c r="G97" s="184"/>
      <c r="H97" s="184"/>
      <c r="I97" s="217" t="s">
        <v>1224</v>
      </c>
      <c r="J97" s="184"/>
      <c r="K97" s="184"/>
      <c r="L97" s="184"/>
      <c r="M97" s="185"/>
      <c r="N97" s="185"/>
      <c r="O97" s="186"/>
      <c r="P97" s="187">
        <v>0</v>
      </c>
      <c r="Q97" s="187">
        <v>0</v>
      </c>
      <c r="R97" s="188">
        <v>0</v>
      </c>
      <c r="S97" s="188">
        <v>0</v>
      </c>
      <c r="T97" s="185"/>
      <c r="U97" s="185"/>
      <c r="V97" s="189">
        <v>0</v>
      </c>
      <c r="W97" s="190">
        <v>0</v>
      </c>
      <c r="X97" s="191">
        <v>1</v>
      </c>
      <c r="Y97" s="216" t="s">
        <v>1128</v>
      </c>
      <c r="Z97" s="192"/>
      <c r="AA97" s="97">
        <v>0</v>
      </c>
      <c r="AB97" s="193">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row>
    <row r="98" spans="1:161" outlineLevel="4">
      <c r="A98" s="116"/>
      <c r="B98" s="116"/>
      <c r="C98" s="116">
        <v>0</v>
      </c>
      <c r="D98" s="3"/>
      <c r="E98" s="184"/>
      <c r="F98" s="184"/>
      <c r="G98" s="184"/>
      <c r="H98" s="184"/>
      <c r="I98" s="217"/>
      <c r="J98" s="184"/>
      <c r="K98" s="184"/>
      <c r="L98" s="184"/>
      <c r="M98" s="185"/>
      <c r="N98" s="185"/>
      <c r="O98" s="186"/>
      <c r="P98" s="187"/>
      <c r="Q98" s="187"/>
      <c r="R98" s="188">
        <v>0</v>
      </c>
      <c r="S98" s="188">
        <v>0</v>
      </c>
      <c r="T98" s="185"/>
      <c r="U98" s="185"/>
      <c r="V98" s="189"/>
      <c r="W98" s="190">
        <v>0</v>
      </c>
      <c r="X98" s="191"/>
      <c r="Y98" s="216"/>
      <c r="Z98" s="192"/>
      <c r="AA98" s="97"/>
      <c r="AB98" s="193"/>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row>
    <row r="99" spans="1:161" outlineLevel="4">
      <c r="A99" s="116"/>
      <c r="B99" s="116"/>
      <c r="C99" s="116">
        <v>0</v>
      </c>
      <c r="D99" s="3"/>
      <c r="E99" s="184"/>
      <c r="F99" s="184"/>
      <c r="G99" s="184"/>
      <c r="H99" s="184"/>
      <c r="I99" s="217"/>
      <c r="J99" s="184"/>
      <c r="K99" s="184"/>
      <c r="L99" s="184"/>
      <c r="M99" s="185"/>
      <c r="N99" s="185"/>
      <c r="O99" s="186"/>
      <c r="P99" s="187"/>
      <c r="Q99" s="187"/>
      <c r="R99" s="188">
        <v>0</v>
      </c>
      <c r="S99" s="188">
        <v>0</v>
      </c>
      <c r="T99" s="185"/>
      <c r="U99" s="185"/>
      <c r="V99" s="189"/>
      <c r="W99" s="190">
        <v>0</v>
      </c>
      <c r="X99" s="191"/>
      <c r="Y99" s="216"/>
      <c r="Z99" s="192"/>
      <c r="AA99" s="97"/>
      <c r="AB99" s="193"/>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row>
    <row r="100" spans="1:161" outlineLevel="4">
      <c r="A100" s="116"/>
      <c r="B100" s="116"/>
      <c r="C100" s="116">
        <v>0</v>
      </c>
      <c r="D100" s="3"/>
      <c r="E100" s="184"/>
      <c r="F100" s="184"/>
      <c r="G100" s="184"/>
      <c r="H100" s="184"/>
      <c r="I100" s="217"/>
      <c r="J100" s="184"/>
      <c r="K100" s="184"/>
      <c r="L100" s="184"/>
      <c r="M100" s="185"/>
      <c r="N100" s="185"/>
      <c r="O100" s="186"/>
      <c r="P100" s="187"/>
      <c r="Q100" s="187"/>
      <c r="R100" s="188">
        <v>0</v>
      </c>
      <c r="S100" s="188">
        <v>0</v>
      </c>
      <c r="T100" s="185"/>
      <c r="U100" s="185"/>
      <c r="V100" s="189"/>
      <c r="W100" s="190">
        <v>0</v>
      </c>
      <c r="X100" s="191"/>
      <c r="Y100" s="216"/>
      <c r="Z100" s="192"/>
      <c r="AA100" s="97"/>
      <c r="AB100" s="193"/>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row>
    <row r="101" spans="1:161" outlineLevel="4">
      <c r="A101" s="116"/>
      <c r="B101" s="116"/>
      <c r="C101" s="116">
        <v>5</v>
      </c>
      <c r="D101" s="3" t="s">
        <v>1226</v>
      </c>
      <c r="E101" s="184"/>
      <c r="F101" s="184"/>
      <c r="G101" s="184"/>
      <c r="H101" s="184"/>
      <c r="I101" s="217" t="s">
        <v>1221</v>
      </c>
      <c r="J101" s="184"/>
      <c r="K101" s="184"/>
      <c r="L101" s="184"/>
      <c r="M101" s="185"/>
      <c r="N101" s="185"/>
      <c r="O101" s="186"/>
      <c r="P101" s="187">
        <v>0</v>
      </c>
      <c r="Q101" s="187">
        <v>0</v>
      </c>
      <c r="R101" s="188">
        <v>0</v>
      </c>
      <c r="S101" s="188">
        <v>0</v>
      </c>
      <c r="T101" s="185"/>
      <c r="U101" s="185"/>
      <c r="V101" s="189">
        <v>0</v>
      </c>
      <c r="W101" s="190">
        <v>0</v>
      </c>
      <c r="X101" s="191"/>
      <c r="Y101" s="216"/>
      <c r="Z101" s="192"/>
      <c r="AA101" s="97">
        <v>0</v>
      </c>
      <c r="AB101" s="193">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row>
    <row r="102" spans="1:161" outlineLevel="4">
      <c r="A102" s="116"/>
      <c r="B102" s="116"/>
      <c r="C102" s="116">
        <v>0</v>
      </c>
      <c r="D102" s="3"/>
      <c r="E102" s="184"/>
      <c r="F102" s="184"/>
      <c r="G102" s="184"/>
      <c r="H102" s="184"/>
      <c r="I102" s="217"/>
      <c r="J102" s="184"/>
      <c r="K102" s="184"/>
      <c r="L102" s="184"/>
      <c r="M102" s="185"/>
      <c r="N102" s="185"/>
      <c r="O102" s="186"/>
      <c r="P102" s="187"/>
      <c r="Q102" s="187"/>
      <c r="R102" s="188">
        <v>0</v>
      </c>
      <c r="S102" s="188">
        <v>0</v>
      </c>
      <c r="T102" s="185"/>
      <c r="U102" s="185"/>
      <c r="V102" s="189"/>
      <c r="W102" s="190">
        <v>0</v>
      </c>
      <c r="X102" s="191"/>
      <c r="Y102" s="216"/>
      <c r="Z102" s="192"/>
      <c r="AA102" s="97"/>
      <c r="AB102" s="193"/>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row>
    <row r="103" spans="1:161" outlineLevel="4">
      <c r="A103" s="116"/>
      <c r="B103" s="116"/>
      <c r="C103" s="116">
        <v>0</v>
      </c>
      <c r="D103" s="3"/>
      <c r="E103" s="184"/>
      <c r="F103" s="184"/>
      <c r="G103" s="184"/>
      <c r="H103" s="184"/>
      <c r="I103" s="217"/>
      <c r="J103" s="184"/>
      <c r="K103" s="184"/>
      <c r="L103" s="184"/>
      <c r="M103" s="185"/>
      <c r="N103" s="185"/>
      <c r="O103" s="186"/>
      <c r="P103" s="187"/>
      <c r="Q103" s="187"/>
      <c r="R103" s="188">
        <v>0</v>
      </c>
      <c r="S103" s="188">
        <v>0</v>
      </c>
      <c r="T103" s="185"/>
      <c r="U103" s="185"/>
      <c r="V103" s="189"/>
      <c r="W103" s="190">
        <v>0</v>
      </c>
      <c r="X103" s="191"/>
      <c r="Y103" s="216"/>
      <c r="Z103" s="192"/>
      <c r="AA103" s="97"/>
      <c r="AB103" s="193"/>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row>
    <row r="104" spans="1:161" outlineLevel="4">
      <c r="A104" s="116"/>
      <c r="B104" s="116"/>
      <c r="C104" s="116">
        <v>5</v>
      </c>
      <c r="D104" s="3" t="s">
        <v>1227</v>
      </c>
      <c r="E104" s="184"/>
      <c r="F104" s="184"/>
      <c r="G104" s="184"/>
      <c r="H104" s="184"/>
      <c r="I104" s="217" t="s">
        <v>1222</v>
      </c>
      <c r="J104" s="184"/>
      <c r="K104" s="184"/>
      <c r="L104" s="184"/>
      <c r="M104" s="185"/>
      <c r="N104" s="185"/>
      <c r="O104" s="186"/>
      <c r="P104" s="187">
        <v>0</v>
      </c>
      <c r="Q104" s="187">
        <v>0</v>
      </c>
      <c r="R104" s="188">
        <v>0</v>
      </c>
      <c r="S104" s="188">
        <v>0</v>
      </c>
      <c r="T104" s="185"/>
      <c r="U104" s="185"/>
      <c r="V104" s="189">
        <v>0</v>
      </c>
      <c r="W104" s="190">
        <v>0</v>
      </c>
      <c r="X104" s="191"/>
      <c r="Y104" s="216"/>
      <c r="Z104" s="192"/>
      <c r="AA104" s="97">
        <v>0</v>
      </c>
      <c r="AB104" s="193">
        <v>0</v>
      </c>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row>
    <row r="105" spans="1:161" outlineLevel="4">
      <c r="A105" s="116"/>
      <c r="B105" s="116"/>
      <c r="C105" s="116">
        <v>0</v>
      </c>
      <c r="D105" s="3"/>
      <c r="E105" s="184"/>
      <c r="F105" s="184"/>
      <c r="G105" s="184"/>
      <c r="H105" s="184"/>
      <c r="I105" s="217"/>
      <c r="J105" s="184"/>
      <c r="K105" s="184"/>
      <c r="L105" s="184"/>
      <c r="M105" s="185"/>
      <c r="N105" s="185"/>
      <c r="O105" s="186"/>
      <c r="P105" s="187"/>
      <c r="Q105" s="187"/>
      <c r="R105" s="188">
        <v>0</v>
      </c>
      <c r="S105" s="188">
        <v>0</v>
      </c>
      <c r="T105" s="185"/>
      <c r="U105" s="185"/>
      <c r="V105" s="189"/>
      <c r="W105" s="190">
        <v>0</v>
      </c>
      <c r="X105" s="191"/>
      <c r="Y105" s="216"/>
      <c r="Z105" s="192"/>
      <c r="AA105" s="97"/>
      <c r="AB105" s="193"/>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row>
    <row r="106" spans="1:161" outlineLevel="4">
      <c r="A106" s="116"/>
      <c r="B106" s="116"/>
      <c r="C106" s="116">
        <v>0</v>
      </c>
      <c r="D106" s="3"/>
      <c r="E106" s="184"/>
      <c r="F106" s="184"/>
      <c r="G106" s="184"/>
      <c r="H106" s="184"/>
      <c r="I106" s="217"/>
      <c r="J106" s="184"/>
      <c r="K106" s="184"/>
      <c r="L106" s="184"/>
      <c r="M106" s="185"/>
      <c r="N106" s="185"/>
      <c r="O106" s="186"/>
      <c r="P106" s="187"/>
      <c r="Q106" s="187"/>
      <c r="R106" s="188">
        <v>0</v>
      </c>
      <c r="S106" s="188">
        <v>0</v>
      </c>
      <c r="T106" s="185"/>
      <c r="U106" s="185"/>
      <c r="V106" s="189"/>
      <c r="W106" s="190">
        <v>0</v>
      </c>
      <c r="X106" s="191"/>
      <c r="Y106" s="216"/>
      <c r="Z106" s="192"/>
      <c r="AA106" s="97"/>
      <c r="AB106" s="193"/>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row>
    <row r="107" spans="1:161" outlineLevel="4">
      <c r="A107" s="116"/>
      <c r="B107" s="116"/>
      <c r="C107" s="116">
        <v>0</v>
      </c>
      <c r="D107" s="3"/>
      <c r="E107" s="184"/>
      <c r="F107" s="184"/>
      <c r="G107" s="184"/>
      <c r="H107" s="184"/>
      <c r="I107" s="217"/>
      <c r="J107" s="184"/>
      <c r="K107" s="184"/>
      <c r="L107" s="184"/>
      <c r="M107" s="185"/>
      <c r="N107" s="185"/>
      <c r="O107" s="186"/>
      <c r="P107" s="187"/>
      <c r="Q107" s="187"/>
      <c r="R107" s="188">
        <v>0</v>
      </c>
      <c r="S107" s="188">
        <v>0</v>
      </c>
      <c r="T107" s="185"/>
      <c r="U107" s="185"/>
      <c r="V107" s="189"/>
      <c r="W107" s="190">
        <v>0</v>
      </c>
      <c r="X107" s="191"/>
      <c r="Y107" s="216"/>
      <c r="Z107" s="192"/>
      <c r="AA107" s="97"/>
      <c r="AB107" s="193"/>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row>
    <row r="108" spans="1:161" outlineLevel="4">
      <c r="A108" s="116"/>
      <c r="B108" s="116"/>
      <c r="C108" s="116">
        <v>0</v>
      </c>
      <c r="D108" s="3"/>
      <c r="E108" s="184"/>
      <c r="F108" s="184"/>
      <c r="G108" s="184"/>
      <c r="H108" s="184"/>
      <c r="I108" s="217"/>
      <c r="J108" s="184"/>
      <c r="K108" s="184"/>
      <c r="L108" s="184"/>
      <c r="M108" s="185"/>
      <c r="N108" s="185"/>
      <c r="O108" s="186"/>
      <c r="P108" s="187"/>
      <c r="Q108" s="187"/>
      <c r="R108" s="188">
        <v>0</v>
      </c>
      <c r="S108" s="188">
        <v>0</v>
      </c>
      <c r="T108" s="185"/>
      <c r="U108" s="185"/>
      <c r="V108" s="189"/>
      <c r="W108" s="190">
        <v>0</v>
      </c>
      <c r="X108" s="191"/>
      <c r="Y108" s="216"/>
      <c r="Z108" s="192"/>
      <c r="AA108" s="97"/>
      <c r="AB108" s="193"/>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row>
    <row r="109" spans="1:161" outlineLevel="4">
      <c r="A109" s="116"/>
      <c r="B109" s="116"/>
      <c r="C109" s="116">
        <v>0</v>
      </c>
      <c r="D109" s="3"/>
      <c r="E109" s="184"/>
      <c r="F109" s="184"/>
      <c r="G109" s="184"/>
      <c r="H109" s="184"/>
      <c r="I109" s="217"/>
      <c r="J109" s="184"/>
      <c r="K109" s="184"/>
      <c r="L109" s="184"/>
      <c r="M109" s="185"/>
      <c r="N109" s="185"/>
      <c r="O109" s="186"/>
      <c r="P109" s="187"/>
      <c r="Q109" s="187"/>
      <c r="R109" s="188">
        <v>0</v>
      </c>
      <c r="S109" s="188">
        <v>0</v>
      </c>
      <c r="T109" s="185"/>
      <c r="U109" s="185"/>
      <c r="V109" s="189"/>
      <c r="W109" s="190">
        <v>0</v>
      </c>
      <c r="X109" s="191"/>
      <c r="Y109" s="216"/>
      <c r="Z109" s="192"/>
      <c r="AA109" s="97"/>
      <c r="AB109" s="193"/>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row>
    <row r="110" spans="1:161" outlineLevel="4">
      <c r="A110" s="116"/>
      <c r="B110" s="116"/>
      <c r="C110" s="116">
        <v>5</v>
      </c>
      <c r="D110" s="3" t="s">
        <v>1228</v>
      </c>
      <c r="E110" s="184"/>
      <c r="F110" s="184"/>
      <c r="G110" s="184"/>
      <c r="H110" s="184"/>
      <c r="I110" s="217" t="s">
        <v>1223</v>
      </c>
      <c r="J110" s="184"/>
      <c r="K110" s="184"/>
      <c r="L110" s="184"/>
      <c r="M110" s="185"/>
      <c r="N110" s="185"/>
      <c r="O110" s="186"/>
      <c r="P110" s="187">
        <v>0</v>
      </c>
      <c r="Q110" s="187">
        <v>0</v>
      </c>
      <c r="R110" s="188">
        <v>0</v>
      </c>
      <c r="S110" s="188">
        <v>0</v>
      </c>
      <c r="T110" s="185"/>
      <c r="U110" s="185"/>
      <c r="V110" s="189">
        <v>0</v>
      </c>
      <c r="W110" s="190">
        <v>0</v>
      </c>
      <c r="X110" s="191"/>
      <c r="Y110" s="216"/>
      <c r="Z110" s="192"/>
      <c r="AA110" s="97">
        <v>0</v>
      </c>
      <c r="AB110" s="193">
        <v>0</v>
      </c>
      <c r="AC110" s="123"/>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row>
    <row r="111" spans="1:161" outlineLevel="4">
      <c r="A111" s="116"/>
      <c r="B111" s="116"/>
      <c r="C111" s="116">
        <v>0</v>
      </c>
      <c r="D111" s="3"/>
      <c r="E111" s="184"/>
      <c r="F111" s="184"/>
      <c r="G111" s="184"/>
      <c r="H111" s="184"/>
      <c r="I111" s="217"/>
      <c r="J111" s="184"/>
      <c r="K111" s="184"/>
      <c r="L111" s="184"/>
      <c r="M111" s="185"/>
      <c r="N111" s="185"/>
      <c r="O111" s="186"/>
      <c r="P111" s="187"/>
      <c r="Q111" s="187"/>
      <c r="R111" s="188">
        <v>0</v>
      </c>
      <c r="S111" s="188">
        <v>0</v>
      </c>
      <c r="T111" s="185"/>
      <c r="U111" s="185"/>
      <c r="V111" s="189"/>
      <c r="W111" s="190">
        <v>0</v>
      </c>
      <c r="X111" s="191"/>
      <c r="Y111" s="216"/>
      <c r="Z111" s="192"/>
      <c r="AA111" s="97"/>
      <c r="AB111" s="193"/>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row>
    <row r="112" spans="1:161" outlineLevel="4">
      <c r="A112" s="116"/>
      <c r="B112" s="116"/>
      <c r="C112" s="116">
        <v>0</v>
      </c>
      <c r="D112" s="3"/>
      <c r="E112" s="184"/>
      <c r="F112" s="184"/>
      <c r="G112" s="184"/>
      <c r="H112" s="184"/>
      <c r="I112" s="217"/>
      <c r="J112" s="184"/>
      <c r="K112" s="184"/>
      <c r="L112" s="184"/>
      <c r="M112" s="185"/>
      <c r="N112" s="185"/>
      <c r="O112" s="186"/>
      <c r="P112" s="187"/>
      <c r="Q112" s="187"/>
      <c r="R112" s="188">
        <v>0</v>
      </c>
      <c r="S112" s="188">
        <v>0</v>
      </c>
      <c r="T112" s="185"/>
      <c r="U112" s="185"/>
      <c r="V112" s="189"/>
      <c r="W112" s="190">
        <v>0</v>
      </c>
      <c r="X112" s="191"/>
      <c r="Y112" s="216"/>
      <c r="Z112" s="192"/>
      <c r="AA112" s="97"/>
      <c r="AB112" s="193"/>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row>
    <row r="113" spans="1:161" outlineLevel="4">
      <c r="A113" s="116"/>
      <c r="B113" s="116"/>
      <c r="C113" s="116">
        <v>0</v>
      </c>
      <c r="D113" s="3"/>
      <c r="E113" s="184"/>
      <c r="F113" s="184"/>
      <c r="G113" s="184"/>
      <c r="H113" s="184"/>
      <c r="I113" s="217"/>
      <c r="J113" s="184"/>
      <c r="K113" s="184"/>
      <c r="L113" s="184"/>
      <c r="M113" s="185"/>
      <c r="N113" s="185"/>
      <c r="O113" s="186"/>
      <c r="P113" s="187"/>
      <c r="Q113" s="187"/>
      <c r="R113" s="188">
        <v>0</v>
      </c>
      <c r="S113" s="188">
        <v>0</v>
      </c>
      <c r="T113" s="185"/>
      <c r="U113" s="185"/>
      <c r="V113" s="189"/>
      <c r="W113" s="190">
        <v>0</v>
      </c>
      <c r="X113" s="191"/>
      <c r="Y113" s="216"/>
      <c r="Z113" s="192"/>
      <c r="AA113" s="97"/>
      <c r="AB113" s="193"/>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row>
    <row r="114" spans="1:161" outlineLevel="4">
      <c r="A114" s="116"/>
      <c r="B114" s="116"/>
      <c r="C114" s="116">
        <v>0</v>
      </c>
      <c r="D114" s="3"/>
      <c r="E114" s="184"/>
      <c r="F114" s="184"/>
      <c r="G114" s="184"/>
      <c r="H114" s="184"/>
      <c r="I114" s="217"/>
      <c r="J114" s="184"/>
      <c r="K114" s="184"/>
      <c r="L114" s="184"/>
      <c r="M114" s="185"/>
      <c r="N114" s="185"/>
      <c r="O114" s="186"/>
      <c r="P114" s="187"/>
      <c r="Q114" s="187"/>
      <c r="R114" s="188">
        <v>0</v>
      </c>
      <c r="S114" s="188">
        <v>0</v>
      </c>
      <c r="T114" s="185"/>
      <c r="U114" s="185"/>
      <c r="V114" s="189"/>
      <c r="W114" s="190">
        <v>0</v>
      </c>
      <c r="X114" s="191"/>
      <c r="Y114" s="216"/>
      <c r="Z114" s="192"/>
      <c r="AA114" s="97"/>
      <c r="AB114" s="193"/>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row>
    <row r="115" spans="1:161" outlineLevel="4">
      <c r="A115" s="116"/>
      <c r="B115" s="116"/>
      <c r="C115" s="116">
        <v>0</v>
      </c>
      <c r="D115" s="3"/>
      <c r="E115" s="184"/>
      <c r="F115" s="184"/>
      <c r="G115" s="184"/>
      <c r="H115" s="184"/>
      <c r="I115" s="217"/>
      <c r="J115" s="184"/>
      <c r="K115" s="184"/>
      <c r="L115" s="184"/>
      <c r="M115" s="185"/>
      <c r="N115" s="185"/>
      <c r="O115" s="186"/>
      <c r="P115" s="187"/>
      <c r="Q115" s="187"/>
      <c r="R115" s="188">
        <v>0</v>
      </c>
      <c r="S115" s="188">
        <v>0</v>
      </c>
      <c r="T115" s="185"/>
      <c r="U115" s="185"/>
      <c r="V115" s="189"/>
      <c r="W115" s="190">
        <v>0</v>
      </c>
      <c r="X115" s="191"/>
      <c r="Y115" s="216"/>
      <c r="Z115" s="192"/>
      <c r="AA115" s="97"/>
      <c r="AB115" s="193"/>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row>
    <row r="116" spans="1:161" outlineLevel="4">
      <c r="A116" s="116"/>
      <c r="B116" s="116"/>
      <c r="C116" s="116">
        <v>0</v>
      </c>
      <c r="D116" s="3"/>
      <c r="E116" s="184"/>
      <c r="F116" s="184"/>
      <c r="G116" s="184"/>
      <c r="H116" s="184"/>
      <c r="I116" s="217"/>
      <c r="J116" s="184"/>
      <c r="K116" s="184"/>
      <c r="L116" s="184"/>
      <c r="M116" s="185"/>
      <c r="N116" s="185"/>
      <c r="O116" s="186"/>
      <c r="P116" s="187"/>
      <c r="Q116" s="187"/>
      <c r="R116" s="188">
        <v>0</v>
      </c>
      <c r="S116" s="188">
        <v>0</v>
      </c>
      <c r="T116" s="185"/>
      <c r="U116" s="185"/>
      <c r="V116" s="189"/>
      <c r="W116" s="190">
        <v>0</v>
      </c>
      <c r="X116" s="191"/>
      <c r="Y116" s="216"/>
      <c r="Z116" s="192"/>
      <c r="AA116" s="97"/>
      <c r="AB116" s="193"/>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row>
    <row r="117" spans="1:161" outlineLevel="4">
      <c r="A117" s="116"/>
      <c r="B117" s="116"/>
      <c r="C117" s="116">
        <v>0</v>
      </c>
      <c r="D117" s="3"/>
      <c r="E117" s="184"/>
      <c r="F117" s="184"/>
      <c r="G117" s="184"/>
      <c r="H117" s="184"/>
      <c r="I117" s="217"/>
      <c r="J117" s="184"/>
      <c r="K117" s="184"/>
      <c r="L117" s="184"/>
      <c r="M117" s="185"/>
      <c r="N117" s="185"/>
      <c r="O117" s="186"/>
      <c r="P117" s="187"/>
      <c r="Q117" s="187"/>
      <c r="R117" s="188">
        <v>0</v>
      </c>
      <c r="S117" s="188">
        <v>0</v>
      </c>
      <c r="T117" s="185"/>
      <c r="U117" s="185"/>
      <c r="V117" s="189"/>
      <c r="W117" s="190">
        <v>0</v>
      </c>
      <c r="X117" s="191"/>
      <c r="Y117" s="186"/>
      <c r="Z117" s="192"/>
      <c r="AA117" s="97"/>
      <c r="AB117" s="193"/>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row>
    <row r="118" spans="1:161" outlineLevel="3">
      <c r="A118" s="116"/>
      <c r="B118" s="116" t="s">
        <v>1071</v>
      </c>
      <c r="C118" s="116">
        <v>4</v>
      </c>
      <c r="D118" s="219" t="s">
        <v>1157</v>
      </c>
      <c r="E118" s="220"/>
      <c r="F118" s="220"/>
      <c r="G118" s="220"/>
      <c r="H118" s="220" t="s">
        <v>1159</v>
      </c>
      <c r="I118" s="221"/>
      <c r="J118" s="220"/>
      <c r="K118" s="220"/>
      <c r="L118" s="220"/>
      <c r="M118" s="222">
        <v>43535</v>
      </c>
      <c r="N118" s="222">
        <v>43535</v>
      </c>
      <c r="O118" s="223"/>
      <c r="P118" s="224">
        <v>1</v>
      </c>
      <c r="Q118" s="224">
        <v>1</v>
      </c>
      <c r="R118" s="225">
        <v>1</v>
      </c>
      <c r="S118" s="225">
        <v>1</v>
      </c>
      <c r="T118" s="222"/>
      <c r="U118" s="222"/>
      <c r="V118" s="226">
        <v>0</v>
      </c>
      <c r="W118" s="227">
        <v>0</v>
      </c>
      <c r="X118" s="228"/>
      <c r="Y118" s="223"/>
      <c r="Z118" s="245"/>
      <c r="AA118" s="230">
        <v>1</v>
      </c>
      <c r="AB118" s="231">
        <v>0</v>
      </c>
      <c r="AC118" s="123"/>
      <c r="AD118" s="4"/>
      <c r="AE118" s="4"/>
      <c r="AF118" s="4" t="str">
        <f>" " &amp; TEXT(AB118,"#0.00%") &amp; " " &amp; "서버, DB" &amp; " " &amp; IF(M118="","",TEXT(M118,"M/D-")) &amp; IF(N118="","",TEXT(N118,"M/D")) &amp; " "</f>
        <v xml:space="preserve"> 0.00% 서버, DB 3/11-3/11 </v>
      </c>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row>
    <row r="119" spans="1:161" outlineLevel="4">
      <c r="A119" s="116"/>
      <c r="B119" s="116"/>
      <c r="C119" s="116">
        <v>5</v>
      </c>
      <c r="D119" s="3" t="s">
        <v>1165</v>
      </c>
      <c r="E119" s="184"/>
      <c r="F119" s="184"/>
      <c r="G119" s="184"/>
      <c r="H119" s="184"/>
      <c r="I119" s="217" t="s">
        <v>1167</v>
      </c>
      <c r="J119" s="184"/>
      <c r="K119" s="184"/>
      <c r="L119" s="184"/>
      <c r="M119" s="185">
        <v>43535</v>
      </c>
      <c r="N119" s="185">
        <v>43535</v>
      </c>
      <c r="O119" s="186"/>
      <c r="P119" s="187">
        <v>1</v>
      </c>
      <c r="Q119" s="187">
        <v>1</v>
      </c>
      <c r="R119" s="188">
        <v>1</v>
      </c>
      <c r="S119" s="188">
        <v>1</v>
      </c>
      <c r="T119" s="185"/>
      <c r="U119" s="185"/>
      <c r="V119" s="189"/>
      <c r="W119" s="190">
        <v>0</v>
      </c>
      <c r="X119" s="191">
        <v>1</v>
      </c>
      <c r="Y119" s="216" t="s">
        <v>1125</v>
      </c>
      <c r="Z119" s="192"/>
      <c r="AA119" s="97">
        <v>1</v>
      </c>
      <c r="AB119" s="193">
        <v>0</v>
      </c>
      <c r="AC119" s="123"/>
      <c r="AD119" s="4"/>
      <c r="AE119" s="4"/>
      <c r="AF119" s="4" t="str">
        <f>" " &amp; TEXT(AB119,"#0.00%") &amp; " " &amp; "서버구축(AWS)" &amp; "(류경호)" &amp; " " &amp; IF(M119="","",TEXT(M119,"M/D-")) &amp; IF(N119="","",TEXT(N119,"M/D")) &amp; " "</f>
        <v xml:space="preserve"> 0.00% 서버구축(AWS)(류경호) 3/11-3/11 </v>
      </c>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row>
    <row r="120" spans="1:161">
      <c r="A120" s="194"/>
      <c r="B120" s="194"/>
      <c r="C120" s="194">
        <v>0</v>
      </c>
      <c r="D120" s="195"/>
      <c r="E120" s="196"/>
      <c r="F120" s="196"/>
      <c r="G120" s="196"/>
      <c r="H120" s="196"/>
      <c r="I120" s="246"/>
      <c r="J120" s="196"/>
      <c r="K120" s="196"/>
      <c r="L120" s="196"/>
      <c r="M120" s="197"/>
      <c r="N120" s="197"/>
      <c r="O120" s="198"/>
      <c r="P120" s="199"/>
      <c r="Q120" s="199"/>
      <c r="R120" s="200">
        <v>0</v>
      </c>
      <c r="S120" s="200">
        <v>0</v>
      </c>
      <c r="T120" s="197"/>
      <c r="U120" s="197"/>
      <c r="V120" s="201"/>
      <c r="W120" s="202">
        <v>0</v>
      </c>
      <c r="X120" s="203"/>
      <c r="Y120" s="198"/>
      <c r="Z120" s="204"/>
      <c r="AA120" s="205"/>
      <c r="AB120" s="206"/>
      <c r="AC120" s="182"/>
      <c r="AD120" s="182"/>
      <c r="AE120" s="182"/>
      <c r="AF120" s="182"/>
      <c r="AG120" s="182"/>
      <c r="AH120" s="182"/>
      <c r="AI120" s="182"/>
      <c r="AJ120" s="182"/>
      <c r="AK120" s="182"/>
      <c r="AL120" s="182"/>
      <c r="AM120" s="182"/>
      <c r="AN120" s="182"/>
      <c r="AO120" s="182"/>
      <c r="AP120" s="182"/>
      <c r="AQ120" s="182"/>
      <c r="AR120" s="182"/>
      <c r="AS120" s="182"/>
      <c r="AT120" s="182"/>
      <c r="AU120" s="182"/>
      <c r="AV120" s="182"/>
      <c r="AW120" s="182"/>
      <c r="AX120" s="182"/>
      <c r="AY120" s="182"/>
      <c r="AZ120" s="182"/>
      <c r="BA120" s="182"/>
      <c r="BB120" s="182"/>
      <c r="BC120" s="182"/>
      <c r="BD120" s="182"/>
      <c r="BE120" s="182"/>
      <c r="BF120" s="182"/>
      <c r="BG120" s="182"/>
      <c r="BH120" s="182"/>
      <c r="BI120" s="182"/>
      <c r="BJ120" s="182"/>
      <c r="BK120" s="182"/>
      <c r="BL120" s="182"/>
      <c r="BM120" s="182"/>
      <c r="BN120" s="182"/>
      <c r="BO120" s="182"/>
      <c r="BP120" s="182"/>
      <c r="BQ120" s="182"/>
      <c r="BR120" s="182"/>
      <c r="BS120" s="182"/>
      <c r="BT120" s="182"/>
      <c r="BU120" s="182"/>
      <c r="BV120" s="182"/>
      <c r="BW120" s="182"/>
      <c r="BX120" s="182"/>
      <c r="BY120" s="182"/>
      <c r="BZ120" s="182"/>
      <c r="CA120" s="182"/>
      <c r="CB120" s="182"/>
      <c r="CC120" s="182"/>
      <c r="CD120" s="182"/>
      <c r="CE120" s="182"/>
      <c r="CF120" s="182"/>
      <c r="CG120" s="182"/>
      <c r="CH120" s="182"/>
      <c r="CI120" s="182"/>
      <c r="CJ120" s="182"/>
      <c r="CK120" s="182"/>
      <c r="CL120" s="182"/>
      <c r="CM120" s="182"/>
      <c r="CN120" s="182"/>
      <c r="CO120" s="182"/>
      <c r="CP120" s="182"/>
      <c r="CQ120" s="182"/>
      <c r="CR120" s="182"/>
      <c r="CS120" s="182"/>
      <c r="CT120" s="182"/>
      <c r="CU120" s="182"/>
      <c r="CV120" s="182"/>
      <c r="CW120" s="182"/>
      <c r="CX120" s="182"/>
      <c r="CY120" s="182"/>
      <c r="CZ120" s="182"/>
      <c r="DA120" s="182"/>
      <c r="DB120" s="182"/>
      <c r="DC120" s="182"/>
      <c r="DD120" s="182"/>
      <c r="DE120" s="182"/>
      <c r="DF120" s="182"/>
      <c r="DG120" s="182"/>
      <c r="DH120" s="182"/>
      <c r="DI120" s="182"/>
      <c r="DJ120" s="182"/>
      <c r="DK120" s="182"/>
      <c r="DL120" s="182"/>
      <c r="DM120" s="182"/>
      <c r="DN120" s="182"/>
      <c r="DO120" s="182"/>
      <c r="DP120" s="182"/>
      <c r="DQ120" s="182"/>
      <c r="DR120" s="182"/>
      <c r="DS120" s="182"/>
      <c r="DT120" s="182"/>
      <c r="DU120" s="182"/>
      <c r="DV120" s="182"/>
      <c r="DW120" s="182"/>
      <c r="DX120" s="182"/>
      <c r="DY120" s="182"/>
      <c r="DZ120" s="182"/>
      <c r="EA120" s="182"/>
      <c r="EB120" s="182"/>
      <c r="EC120" s="182"/>
      <c r="ED120" s="182"/>
      <c r="EE120" s="182"/>
      <c r="EF120" s="182"/>
      <c r="EG120" s="182"/>
      <c r="EH120" s="182"/>
      <c r="EI120" s="182"/>
      <c r="EJ120" s="182"/>
      <c r="EK120" s="182"/>
      <c r="EL120" s="182"/>
      <c r="EM120" s="182"/>
      <c r="EN120" s="182"/>
      <c r="EO120" s="182"/>
      <c r="EP120" s="182"/>
      <c r="EQ120" s="182"/>
      <c r="ER120" s="182"/>
      <c r="ES120" s="182"/>
      <c r="ET120" s="182"/>
      <c r="EU120" s="182"/>
      <c r="EV120" s="182"/>
      <c r="EW120" s="182"/>
      <c r="EX120" s="182"/>
      <c r="EY120" s="182"/>
      <c r="EZ120" s="182"/>
      <c r="FA120" s="182"/>
      <c r="FB120" s="182"/>
      <c r="FC120" s="182"/>
      <c r="FD120" s="182"/>
      <c r="FE120" s="182"/>
    </row>
    <row r="121" spans="1:161">
      <c r="A121" s="116"/>
      <c r="B121" s="116"/>
      <c r="C121" s="116">
        <v>0</v>
      </c>
      <c r="D121" s="3"/>
      <c r="E121" s="184"/>
      <c r="F121" s="184"/>
      <c r="G121" s="184"/>
      <c r="H121" s="184"/>
      <c r="I121" s="217"/>
      <c r="J121" s="184"/>
      <c r="K121" s="184"/>
      <c r="L121" s="184"/>
      <c r="M121" s="185"/>
      <c r="N121" s="185"/>
      <c r="O121" s="186"/>
      <c r="P121" s="187"/>
      <c r="Q121" s="187"/>
      <c r="R121" s="188">
        <v>0</v>
      </c>
      <c r="S121" s="188">
        <v>0</v>
      </c>
      <c r="T121" s="185"/>
      <c r="U121" s="185"/>
      <c r="V121" s="189"/>
      <c r="W121" s="190">
        <v>0</v>
      </c>
      <c r="X121" s="191"/>
      <c r="Y121" s="186"/>
      <c r="Z121" s="192"/>
      <c r="AA121" s="97"/>
      <c r="AB121" s="193"/>
    </row>
    <row r="122" spans="1:161">
      <c r="A122" s="116"/>
      <c r="B122" s="116"/>
      <c r="C122" s="116">
        <v>0</v>
      </c>
      <c r="D122" s="3"/>
      <c r="E122" s="184"/>
      <c r="F122" s="184"/>
      <c r="G122" s="184"/>
      <c r="H122" s="184"/>
      <c r="I122" s="184"/>
      <c r="J122" s="184"/>
      <c r="K122" s="184"/>
      <c r="L122" s="184"/>
      <c r="M122" s="185"/>
      <c r="N122" s="185"/>
      <c r="O122" s="186"/>
      <c r="P122" s="187"/>
      <c r="Q122" s="187"/>
      <c r="R122" s="188">
        <v>0</v>
      </c>
      <c r="S122" s="188">
        <v>0</v>
      </c>
      <c r="T122" s="185"/>
      <c r="U122" s="185"/>
      <c r="V122" s="189"/>
      <c r="W122" s="190">
        <v>0</v>
      </c>
      <c r="X122" s="191"/>
      <c r="Y122" s="186"/>
      <c r="Z122" s="192"/>
      <c r="AA122" s="97"/>
      <c r="AB122" s="193"/>
    </row>
    <row r="123" spans="1:161">
      <c r="A123" s="116"/>
      <c r="B123" s="116"/>
      <c r="C123" s="116">
        <v>0</v>
      </c>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161">
      <c r="A124" s="116"/>
      <c r="B124" s="116"/>
      <c r="C124" s="116">
        <v>0</v>
      </c>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216"/>
      <c r="Z124" s="192"/>
      <c r="AA124" s="97"/>
      <c r="AB124" s="193"/>
    </row>
    <row r="125" spans="1:161">
      <c r="A125" s="116"/>
      <c r="B125" s="116"/>
      <c r="C125" s="116">
        <v>0</v>
      </c>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216"/>
      <c r="Z125" s="192"/>
      <c r="AA125" s="97"/>
      <c r="AB125" s="193"/>
    </row>
    <row r="126" spans="1:161">
      <c r="A126" s="194"/>
      <c r="B126" s="194" t="s">
        <v>1071</v>
      </c>
      <c r="C126" s="194">
        <v>2</v>
      </c>
      <c r="D126" s="195"/>
      <c r="E126" s="196"/>
      <c r="F126" s="196"/>
      <c r="G126" s="196"/>
      <c r="H126" s="196"/>
      <c r="I126" s="196"/>
      <c r="J126" s="196"/>
      <c r="K126" s="196"/>
      <c r="L126" s="196"/>
      <c r="M126" s="197"/>
      <c r="N126" s="197"/>
      <c r="O126" s="198"/>
      <c r="P126" s="199"/>
      <c r="Q126" s="199"/>
      <c r="R126" s="200"/>
      <c r="S126" s="200"/>
      <c r="T126" s="197"/>
      <c r="U126" s="197"/>
      <c r="V126" s="201"/>
      <c r="W126" s="202"/>
      <c r="X126" s="203"/>
      <c r="Y126" s="198"/>
      <c r="Z126" s="204"/>
      <c r="AA126" s="205"/>
      <c r="AB126" s="206"/>
    </row>
    <row r="127" spans="1:161">
      <c r="A127" s="116"/>
      <c r="B127" s="116" t="s">
        <v>1071</v>
      </c>
      <c r="C127" s="116">
        <v>3</v>
      </c>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161">
      <c r="A128" s="116"/>
      <c r="B128" s="116"/>
      <c r="C128" s="116">
        <v>4</v>
      </c>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t="s">
        <v>1071</v>
      </c>
      <c r="C129" s="116">
        <v>3</v>
      </c>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v>4</v>
      </c>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216"/>
      <c r="Z130" s="192"/>
      <c r="AA130" s="97"/>
      <c r="AB130" s="193"/>
    </row>
    <row r="131" spans="1:28">
      <c r="A131" s="116"/>
      <c r="B131" s="116"/>
      <c r="C131" s="116">
        <v>4</v>
      </c>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v>4</v>
      </c>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v>4</v>
      </c>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216"/>
      <c r="Z133" s="192"/>
      <c r="AA133" s="97"/>
      <c r="AB133" s="193"/>
    </row>
    <row r="134" spans="1:28">
      <c r="A134" s="194"/>
      <c r="B134" s="194"/>
      <c r="C134" s="194"/>
      <c r="D134" s="195"/>
      <c r="E134" s="196"/>
      <c r="F134" s="196"/>
      <c r="G134" s="196"/>
      <c r="H134" s="196"/>
      <c r="I134" s="196"/>
      <c r="J134" s="196"/>
      <c r="K134" s="196"/>
      <c r="L134" s="196"/>
      <c r="M134" s="197"/>
      <c r="N134" s="197"/>
      <c r="O134" s="198"/>
      <c r="P134" s="199"/>
      <c r="Q134" s="199"/>
      <c r="R134" s="200"/>
      <c r="S134" s="200"/>
      <c r="T134" s="197"/>
      <c r="U134" s="197"/>
      <c r="V134" s="201"/>
      <c r="W134" s="202"/>
      <c r="X134" s="203"/>
      <c r="Y134" s="198"/>
      <c r="Z134" s="204"/>
      <c r="AA134" s="205"/>
      <c r="AB134" s="206"/>
    </row>
    <row r="135" spans="1:28">
      <c r="A135" s="116"/>
      <c r="B135" s="116"/>
      <c r="C135" s="116"/>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c r="D139" s="3"/>
      <c r="E139" s="184"/>
      <c r="F139" s="184"/>
      <c r="G139" s="18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c r="D145" s="3"/>
      <c r="E145" s="184"/>
      <c r="F145" s="184"/>
      <c r="G145" s="18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16"/>
      <c r="B146" s="116"/>
      <c r="C146" s="116"/>
      <c r="D146" s="3"/>
      <c r="E146" s="184"/>
      <c r="F146" s="184"/>
      <c r="G146" s="184"/>
      <c r="H146" s="184"/>
      <c r="I146" s="184"/>
      <c r="J146" s="184"/>
      <c r="K146" s="184"/>
      <c r="L146" s="184"/>
      <c r="M146" s="185"/>
      <c r="N146" s="185"/>
      <c r="O146" s="186"/>
      <c r="P146" s="187"/>
      <c r="Q146" s="187"/>
      <c r="R146" s="188"/>
      <c r="S146" s="188"/>
      <c r="T146" s="185"/>
      <c r="U146" s="185"/>
      <c r="V146" s="189"/>
      <c r="W146" s="190"/>
      <c r="X146" s="191"/>
      <c r="Y146" s="186"/>
      <c r="Z146" s="192"/>
      <c r="AA146" s="97"/>
      <c r="AB146" s="193"/>
    </row>
    <row r="147" spans="1:28">
      <c r="A147" s="116"/>
      <c r="B147" s="116"/>
      <c r="C147" s="116"/>
      <c r="D147" s="3"/>
      <c r="E147" s="184"/>
      <c r="F147" s="184"/>
      <c r="G147" s="184"/>
      <c r="H147" s="184"/>
      <c r="I147" s="184"/>
      <c r="J147" s="184"/>
      <c r="K147" s="184"/>
      <c r="L147" s="184"/>
      <c r="M147" s="185"/>
      <c r="N147" s="185"/>
      <c r="O147" s="186"/>
      <c r="P147" s="187"/>
      <c r="Q147" s="187"/>
      <c r="R147" s="188"/>
      <c r="S147" s="188"/>
      <c r="T147" s="185"/>
      <c r="U147" s="185"/>
      <c r="V147" s="189"/>
      <c r="W147" s="190"/>
      <c r="X147" s="191"/>
      <c r="Y147" s="186"/>
      <c r="Z147" s="192"/>
      <c r="AA147" s="97"/>
      <c r="AB147" s="193"/>
    </row>
    <row r="148" spans="1:28">
      <c r="A148" s="116"/>
      <c r="B148" s="116"/>
      <c r="C148" s="116"/>
      <c r="D148" s="3"/>
      <c r="E148" s="184"/>
      <c r="F148" s="184"/>
      <c r="G148" s="184"/>
      <c r="H148" s="184"/>
      <c r="I148" s="184"/>
      <c r="J148" s="184"/>
      <c r="K148" s="184"/>
      <c r="L148" s="184"/>
      <c r="M148" s="185"/>
      <c r="N148" s="185"/>
      <c r="O148" s="186"/>
      <c r="P148" s="187"/>
      <c r="Q148" s="187"/>
      <c r="R148" s="188"/>
      <c r="S148" s="188"/>
      <c r="T148" s="185"/>
      <c r="U148" s="185"/>
      <c r="V148" s="189"/>
      <c r="W148" s="190"/>
      <c r="X148" s="191"/>
      <c r="Y148" s="186"/>
      <c r="Z148" s="192"/>
      <c r="AA148" s="97"/>
      <c r="AB148" s="193"/>
    </row>
    <row r="149" spans="1:28">
      <c r="A149" s="116"/>
      <c r="B149" s="116"/>
      <c r="C149" s="116"/>
      <c r="D149" s="3"/>
      <c r="E149" s="184"/>
      <c r="F149" s="184"/>
      <c r="G149" s="18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28">
      <c r="A150" s="116"/>
      <c r="B150" s="116"/>
      <c r="C150" s="116"/>
      <c r="D150" s="3"/>
      <c r="E150" s="184"/>
      <c r="F150" s="184"/>
      <c r="G150" s="18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28">
      <c r="A151" s="116"/>
      <c r="B151" s="116"/>
      <c r="C151" s="116"/>
      <c r="D151" s="3"/>
      <c r="E151" s="184"/>
      <c r="F151" s="184"/>
      <c r="G151" s="18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28">
      <c r="A152" s="116"/>
      <c r="B152" s="116"/>
      <c r="C152" s="116"/>
      <c r="D152" s="3"/>
      <c r="E152" s="184"/>
      <c r="F152" s="184"/>
      <c r="G152" s="18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28">
      <c r="A153" s="116"/>
      <c r="B153" s="116"/>
      <c r="C153" s="116"/>
      <c r="D153" s="3"/>
      <c r="E153" s="184"/>
      <c r="F153" s="184"/>
      <c r="G153" s="18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28">
      <c r="A154" s="116"/>
      <c r="B154" s="116"/>
      <c r="C154" s="116"/>
      <c r="D154" s="3"/>
      <c r="E154" s="184"/>
      <c r="F154" s="184"/>
      <c r="G154" s="18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28">
      <c r="A155" s="116"/>
      <c r="B155" s="116"/>
      <c r="C155" s="116"/>
      <c r="D155" s="3"/>
      <c r="E155" s="184"/>
      <c r="F155" s="184"/>
      <c r="G155" s="18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28">
      <c r="A156" s="116"/>
      <c r="B156" s="116"/>
      <c r="C156" s="116"/>
      <c r="D156" s="3"/>
      <c r="E156" s="184"/>
      <c r="F156" s="184"/>
      <c r="G156" s="18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28">
      <c r="A157" s="116"/>
      <c r="B157" s="116"/>
      <c r="C157" s="116"/>
      <c r="D157" s="3"/>
      <c r="E157" s="184"/>
      <c r="F157" s="184"/>
      <c r="G157" s="18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28">
      <c r="A158" s="116"/>
      <c r="B158" s="116"/>
      <c r="C158" s="116"/>
      <c r="D158" s="3"/>
      <c r="E158" s="184"/>
      <c r="F158" s="184"/>
      <c r="G158" s="18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28">
      <c r="A159" s="116"/>
      <c r="B159" s="116"/>
      <c r="C159" s="116"/>
      <c r="D159" s="3"/>
      <c r="E159" s="184"/>
      <c r="F159" s="184"/>
      <c r="G159" s="18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28">
      <c r="A160" s="116"/>
      <c r="B160" s="116"/>
      <c r="C160" s="116"/>
      <c r="D160" s="3"/>
      <c r="E160" s="184"/>
      <c r="F160" s="184"/>
      <c r="G160" s="18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c r="D161" s="3"/>
      <c r="E161" s="184"/>
      <c r="F161" s="184"/>
      <c r="G161" s="18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c r="C162" s="116"/>
      <c r="D162" s="3"/>
      <c r="E162" s="184"/>
      <c r="F162" s="184"/>
      <c r="G162" s="18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c r="C163" s="116"/>
      <c r="D163" s="3"/>
      <c r="E163" s="184"/>
      <c r="F163" s="184"/>
      <c r="G163" s="18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c r="D164" s="3"/>
      <c r="E164" s="184"/>
      <c r="F164" s="184"/>
      <c r="G164" s="18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c r="D165" s="3"/>
      <c r="E165" s="184"/>
      <c r="F165" s="184"/>
      <c r="G165" s="18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c r="D166" s="207"/>
      <c r="E166" s="184"/>
      <c r="F166" s="184"/>
      <c r="G166" s="18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c r="D167" s="3"/>
      <c r="E167" s="184"/>
      <c r="F167" s="184"/>
      <c r="G167" s="18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c r="C168" s="116"/>
      <c r="D168" s="3"/>
      <c r="E168" s="184"/>
      <c r="F168" s="184"/>
      <c r="G168" s="18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c r="C169" s="116"/>
      <c r="D169" s="3"/>
      <c r="E169" s="184"/>
      <c r="F169" s="184"/>
      <c r="G169" s="18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c r="D170" s="3"/>
      <c r="E170" s="184"/>
      <c r="F170" s="184"/>
      <c r="G170" s="18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c r="D171" s="3"/>
      <c r="E171" s="184"/>
      <c r="F171" s="184"/>
      <c r="G171" s="18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c r="D172" s="3"/>
      <c r="E172" s="184"/>
      <c r="F172" s="184"/>
      <c r="G172" s="18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c r="D173" s="3"/>
      <c r="E173" s="184"/>
      <c r="F173" s="184"/>
      <c r="G173" s="18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c r="C174" s="116"/>
      <c r="D174" s="3"/>
      <c r="E174" s="184"/>
      <c r="F174" s="184"/>
      <c r="G174" s="18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c r="C175" s="116"/>
      <c r="D175" s="3"/>
      <c r="E175" s="184"/>
      <c r="F175" s="184"/>
      <c r="G175" s="18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c r="C176" s="116"/>
      <c r="D176" s="3"/>
      <c r="E176" s="184"/>
      <c r="F176" s="184"/>
      <c r="G176" s="18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c r="D177" s="3"/>
      <c r="E177" s="184"/>
      <c r="F177" s="184"/>
      <c r="G177" s="18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c r="D178" s="3"/>
      <c r="E178" s="184"/>
      <c r="F178" s="184"/>
      <c r="G178" s="18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c r="D179" s="3"/>
      <c r="E179" s="184"/>
      <c r="F179" s="184"/>
      <c r="G179" s="18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c r="C180" s="116"/>
      <c r="D180" s="3"/>
      <c r="E180" s="184"/>
      <c r="F180" s="184"/>
      <c r="G180" s="18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c r="C181" s="116"/>
      <c r="D181" s="3"/>
      <c r="E181" s="184"/>
      <c r="F181" s="184"/>
      <c r="G181" s="18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c r="D182" s="3"/>
      <c r="E182" s="184"/>
      <c r="F182" s="184"/>
      <c r="G182" s="18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c r="D183" s="3"/>
      <c r="E183" s="184"/>
      <c r="F183" s="184"/>
      <c r="G183" s="18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c r="C184" s="116"/>
      <c r="D184" s="3"/>
      <c r="E184" s="184"/>
      <c r="F184" s="184"/>
      <c r="G184" s="18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c r="C185" s="116"/>
      <c r="D185" s="3"/>
      <c r="E185" s="184"/>
      <c r="F185" s="184"/>
      <c r="G185" s="18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c r="D186" s="3"/>
      <c r="E186" s="184"/>
      <c r="F186" s="184"/>
      <c r="G186" s="18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c r="D187" s="3"/>
      <c r="E187" s="184"/>
      <c r="F187" s="184"/>
      <c r="G187" s="18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c r="C188" s="116"/>
      <c r="D188" s="3"/>
      <c r="E188" s="184"/>
      <c r="F188" s="184"/>
      <c r="G188" s="18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c r="C189" s="116"/>
      <c r="D189" s="3"/>
      <c r="E189" s="184"/>
      <c r="F189" s="184"/>
      <c r="G189" s="18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c r="D190" s="3"/>
      <c r="E190" s="184"/>
      <c r="F190" s="184"/>
      <c r="G190" s="18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c r="D191" s="3"/>
      <c r="E191" s="184"/>
      <c r="F191" s="184"/>
      <c r="G191" s="18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c r="C192" s="116"/>
      <c r="D192" s="3"/>
      <c r="E192" s="184"/>
      <c r="F192" s="184"/>
      <c r="G192" s="18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c r="C193" s="116"/>
      <c r="D193" s="3"/>
      <c r="E193" s="184"/>
      <c r="F193" s="184"/>
      <c r="G193" s="18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c r="D194" s="3"/>
      <c r="E194" s="184"/>
      <c r="F194" s="184"/>
      <c r="G194" s="18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c r="D195" s="3"/>
      <c r="E195" s="184"/>
      <c r="F195" s="184"/>
      <c r="G195" s="18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c r="C196" s="116"/>
      <c r="D196" s="3"/>
      <c r="E196" s="184"/>
      <c r="F196" s="184"/>
      <c r="G196" s="18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c r="C197" s="116"/>
      <c r="D197" s="3"/>
      <c r="E197" s="184"/>
      <c r="F197" s="184"/>
      <c r="G197" s="18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c r="D198" s="3"/>
      <c r="E198" s="184"/>
      <c r="F198" s="184"/>
      <c r="G198" s="18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c r="D199" s="3"/>
      <c r="E199" s="184"/>
      <c r="F199" s="184"/>
      <c r="G199" s="18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c r="C200" s="116"/>
      <c r="D200" s="3"/>
      <c r="E200" s="184"/>
      <c r="F200" s="184"/>
      <c r="G200" s="18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c r="C201" s="116"/>
      <c r="D201" s="3"/>
      <c r="E201" s="184"/>
      <c r="F201" s="184"/>
      <c r="G201" s="18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c r="D202" s="3"/>
      <c r="E202" s="184"/>
      <c r="F202" s="184"/>
      <c r="G202" s="18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16"/>
      <c r="B203" s="116"/>
      <c r="C203" s="116"/>
      <c r="D203" s="3"/>
      <c r="E203" s="184"/>
      <c r="F203" s="184"/>
      <c r="G203" s="184"/>
      <c r="H203" s="184"/>
      <c r="I203" s="184"/>
      <c r="J203" s="184"/>
      <c r="K203" s="184"/>
      <c r="L203" s="184"/>
      <c r="M203" s="185"/>
      <c r="N203" s="185"/>
      <c r="O203" s="186"/>
      <c r="P203" s="187"/>
      <c r="Q203" s="187"/>
      <c r="R203" s="188"/>
      <c r="S203" s="188"/>
      <c r="T203" s="185"/>
      <c r="U203" s="185"/>
      <c r="V203" s="189"/>
      <c r="W203" s="190"/>
      <c r="X203" s="191"/>
      <c r="Y203" s="186"/>
      <c r="Z203" s="192"/>
      <c r="AA203" s="97"/>
      <c r="AB203" s="193"/>
    </row>
    <row r="204" spans="1:28">
      <c r="A204" s="116"/>
      <c r="B204" s="116"/>
      <c r="C204" s="116"/>
      <c r="D204" s="3"/>
      <c r="E204" s="184"/>
      <c r="F204" s="184"/>
      <c r="G204" s="184"/>
      <c r="H204" s="184"/>
      <c r="I204" s="184"/>
      <c r="J204" s="184"/>
      <c r="K204" s="184"/>
      <c r="L204" s="184"/>
      <c r="M204" s="185"/>
      <c r="N204" s="185"/>
      <c r="O204" s="186"/>
      <c r="P204" s="187"/>
      <c r="Q204" s="187"/>
      <c r="R204" s="188"/>
      <c r="S204" s="188"/>
      <c r="T204" s="185"/>
      <c r="U204" s="185"/>
      <c r="V204" s="189"/>
      <c r="W204" s="190"/>
      <c r="X204" s="191"/>
      <c r="Y204" s="186"/>
      <c r="Z204" s="192"/>
      <c r="AA204" s="97"/>
      <c r="AB204" s="193"/>
    </row>
    <row r="205" spans="1:28">
      <c r="A205" s="116"/>
      <c r="B205" s="116"/>
      <c r="C205" s="116"/>
      <c r="D205" s="3"/>
      <c r="E205" s="184"/>
      <c r="F205" s="184"/>
      <c r="G205" s="184"/>
      <c r="H205" s="184"/>
      <c r="I205" s="184"/>
      <c r="J205" s="184"/>
      <c r="K205" s="184"/>
      <c r="L205" s="184"/>
      <c r="M205" s="185"/>
      <c r="N205" s="185"/>
      <c r="O205" s="186"/>
      <c r="P205" s="187"/>
      <c r="Q205" s="187"/>
      <c r="R205" s="188"/>
      <c r="S205" s="188"/>
      <c r="T205" s="185"/>
      <c r="U205" s="185"/>
      <c r="V205" s="189"/>
      <c r="W205" s="190"/>
      <c r="X205" s="191"/>
      <c r="Y205" s="186"/>
      <c r="Z205" s="192"/>
      <c r="AA205" s="97"/>
      <c r="AB205" s="193"/>
    </row>
    <row r="206" spans="1:28">
      <c r="A206" s="116"/>
      <c r="B206" s="116"/>
      <c r="C206" s="116"/>
      <c r="D206" s="3"/>
      <c r="E206" s="184"/>
      <c r="F206" s="184"/>
      <c r="G206" s="184"/>
      <c r="H206" s="184"/>
      <c r="I206" s="184"/>
      <c r="J206" s="184"/>
      <c r="K206" s="184"/>
      <c r="L206" s="184"/>
      <c r="M206" s="185"/>
      <c r="N206" s="185"/>
      <c r="O206" s="186"/>
      <c r="P206" s="187"/>
      <c r="Q206" s="187"/>
      <c r="R206" s="188"/>
      <c r="S206" s="188"/>
      <c r="T206" s="185"/>
      <c r="U206" s="185"/>
      <c r="V206" s="189"/>
      <c r="W206" s="190"/>
      <c r="X206" s="191"/>
      <c r="Y206" s="186"/>
      <c r="Z206" s="192"/>
      <c r="AA206" s="97"/>
      <c r="AB206" s="193"/>
    </row>
    <row r="207" spans="1:28">
      <c r="A207" s="169"/>
      <c r="B207" s="169"/>
      <c r="C207" s="169"/>
      <c r="D207" s="170"/>
      <c r="E207" s="171"/>
      <c r="F207" s="171"/>
      <c r="G207" s="171"/>
      <c r="H207" s="171"/>
      <c r="I207" s="171"/>
      <c r="J207" s="171"/>
      <c r="K207" s="171"/>
      <c r="L207" s="171"/>
      <c r="M207" s="172"/>
      <c r="N207" s="172"/>
      <c r="O207" s="173"/>
      <c r="P207" s="174"/>
      <c r="Q207" s="174"/>
      <c r="R207" s="175"/>
      <c r="S207" s="175"/>
      <c r="T207" s="172"/>
      <c r="U207" s="172"/>
      <c r="V207" s="176"/>
      <c r="W207" s="177"/>
      <c r="X207" s="178"/>
      <c r="Y207" s="173"/>
      <c r="Z207" s="179"/>
      <c r="AA207" s="180"/>
      <c r="AB207" s="181"/>
    </row>
  </sheetData>
  <sheetProtection formatCells="0" formatColumns="0" formatRows="0" insertColumns="0" insertRows="0" insertHyperlinks="0" deleteColumns="0" deleteRows="0" sort="0" autoFilter="0" pivotTables="0"/>
  <dataConsolidate/>
  <mergeCells count="29">
    <mergeCell ref="AC3:AF3"/>
    <mergeCell ref="AC1:CA1"/>
    <mergeCell ref="AG3:AJ3"/>
    <mergeCell ref="AK3:AN3"/>
    <mergeCell ref="AO3:AR3"/>
    <mergeCell ref="AS3:AV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119">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1236</v>
      </c>
      <c r="B1" s="18"/>
      <c r="C1" s="18"/>
      <c r="D1" s="18"/>
      <c r="E1" s="18"/>
      <c r="F1" s="18"/>
      <c r="G1" s="18"/>
      <c r="H1" s="18"/>
      <c r="I1" s="18"/>
      <c r="J1" s="18"/>
      <c r="K1" s="18"/>
      <c r="L1" s="273"/>
      <c r="M1" s="274"/>
      <c r="N1" s="274"/>
      <c r="O1" s="19"/>
      <c r="P1" s="19"/>
      <c r="Q1" s="19"/>
    </row>
    <row r="2" spans="1:17" s="23" customFormat="1" ht="13.8">
      <c r="A2" s="21" t="s">
        <v>1088</v>
      </c>
      <c r="B2" s="22"/>
    </row>
    <row r="3" spans="1:17" s="23" customFormat="1" ht="13.8">
      <c r="A3" s="21" t="s">
        <v>1089</v>
      </c>
      <c r="B3" s="22"/>
    </row>
    <row r="4" spans="1:17" s="23" customFormat="1" ht="13.8">
      <c r="A4" s="275"/>
      <c r="B4" s="275"/>
      <c r="C4" s="24"/>
      <c r="D4" s="25"/>
      <c r="E4" s="25"/>
      <c r="F4" s="25"/>
    </row>
    <row r="5" spans="1:17" s="31" customFormat="1" ht="13.8">
      <c r="A5" s="26"/>
      <c r="B5" s="27"/>
      <c r="C5" s="28"/>
      <c r="D5" s="29"/>
      <c r="E5" s="30"/>
      <c r="F5" s="30"/>
      <c r="G5" s="30"/>
    </row>
    <row r="6" spans="1:17" s="31" customFormat="1" ht="13.8">
      <c r="A6" s="32" t="s">
        <v>1090</v>
      </c>
      <c r="B6" s="33">
        <v>208</v>
      </c>
      <c r="C6" s="31" t="s">
        <v>1</v>
      </c>
      <c r="D6" s="272" t="s">
        <v>1091</v>
      </c>
      <c r="E6" s="272"/>
      <c r="F6" s="272"/>
      <c r="G6" s="272"/>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1092</v>
      </c>
      <c r="B9" s="33">
        <v>122</v>
      </c>
      <c r="C9" s="31" t="s">
        <v>1</v>
      </c>
      <c r="D9" s="271" t="s">
        <v>1093</v>
      </c>
      <c r="E9" s="271"/>
      <c r="F9" s="271"/>
      <c r="G9" s="271"/>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1329</v>
      </c>
      <c r="B12" s="33">
        <v>73.8</v>
      </c>
      <c r="C12" s="31" t="s">
        <v>1</v>
      </c>
      <c r="D12" s="271" t="s">
        <v>1330</v>
      </c>
      <c r="E12" s="271"/>
      <c r="F12" s="271"/>
      <c r="G12" s="271"/>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1087</v>
      </c>
      <c r="B15" s="33"/>
      <c r="C15" s="31" t="s">
        <v>1</v>
      </c>
      <c r="D15" s="271" t="s">
        <v>1094</v>
      </c>
      <c r="E15" s="271"/>
      <c r="F15" s="271"/>
      <c r="G15" s="271"/>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1095</v>
      </c>
      <c r="B18" s="55">
        <v>0.58653846153846156</v>
      </c>
      <c r="D18" s="271" t="s">
        <v>1096</v>
      </c>
      <c r="E18" s="271"/>
      <c r="F18" s="271"/>
      <c r="G18" s="271"/>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1097</v>
      </c>
      <c r="B21" s="55">
        <v>0.35480769230769227</v>
      </c>
      <c r="D21" s="271" t="s">
        <v>1098</v>
      </c>
      <c r="E21" s="271"/>
      <c r="F21" s="271"/>
      <c r="G21" s="271"/>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1099</v>
      </c>
      <c r="B24" s="65">
        <f>ACTUAL_RATE-PLANNED_RATE</f>
        <v>-0.2317307692307693</v>
      </c>
      <c r="D24" s="272" t="s">
        <v>1100</v>
      </c>
      <c r="E24" s="272"/>
      <c r="F24" s="272"/>
      <c r="G24" s="272"/>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1116</v>
      </c>
    </row>
    <row r="2" spans="2:6">
      <c r="B2" s="213" t="s">
        <v>1117</v>
      </c>
    </row>
    <row r="3" spans="2:6">
      <c r="B3" s="213" t="s">
        <v>1118</v>
      </c>
    </row>
    <row r="6" spans="2:6" ht="28.8">
      <c r="B6" s="79" t="s">
        <v>1102</v>
      </c>
      <c r="C6" s="183" t="s">
        <v>1103</v>
      </c>
      <c r="D6" s="183" t="s">
        <v>2</v>
      </c>
      <c r="E6" s="183" t="s">
        <v>1119</v>
      </c>
      <c r="F6" s="212" t="s">
        <v>1120</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A27" sqref="A27"/>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1105</v>
      </c>
      <c r="B1" s="17"/>
      <c r="C1" s="17"/>
      <c r="D1" s="17"/>
      <c r="E1" s="17"/>
      <c r="F1" s="17"/>
      <c r="G1" s="17"/>
      <c r="H1" s="17"/>
    </row>
    <row r="2" spans="1:9" s="81" customFormat="1" ht="78.75" customHeight="1">
      <c r="A2" s="276" t="s">
        <v>1106</v>
      </c>
      <c r="B2" s="276"/>
      <c r="C2" s="276"/>
      <c r="D2" s="276"/>
      <c r="E2" s="276"/>
      <c r="F2" s="276"/>
      <c r="G2" s="276"/>
      <c r="H2" s="276"/>
    </row>
    <row r="3" spans="1:9" s="81" customFormat="1" ht="24.75" customHeight="1">
      <c r="A3" s="277" t="s">
        <v>1107</v>
      </c>
      <c r="B3" s="277"/>
      <c r="D3" s="277" t="s">
        <v>1108</v>
      </c>
      <c r="E3" s="277"/>
      <c r="G3" s="277" t="s">
        <v>1109</v>
      </c>
      <c r="H3" s="277"/>
    </row>
    <row r="4" spans="1:9" s="83" customFormat="1" ht="19.5" customHeight="1">
      <c r="A4" s="82" t="s">
        <v>1110</v>
      </c>
      <c r="B4" s="82" t="s">
        <v>1112</v>
      </c>
      <c r="D4" s="82" t="s">
        <v>1111</v>
      </c>
      <c r="E4" s="82" t="s">
        <v>1113</v>
      </c>
      <c r="G4" s="82" t="s">
        <v>1111</v>
      </c>
      <c r="H4" s="82" t="s">
        <v>1112</v>
      </c>
    </row>
    <row r="5" spans="1:9" ht="17.399999999999999">
      <c r="A5" s="118" t="s">
        <v>1055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1056</v>
      </c>
      <c r="B6" s="119">
        <v>43146</v>
      </c>
      <c r="C6" s="86" t="str">
        <f t="shared" si="0"/>
        <v>(목)</v>
      </c>
      <c r="D6" s="84"/>
      <c r="E6" s="85"/>
      <c r="F6" s="86" t="str">
        <f t="shared" si="1"/>
        <v/>
      </c>
      <c r="G6" s="84"/>
      <c r="H6" s="85"/>
      <c r="I6" s="86" t="str">
        <f t="shared" si="2"/>
        <v/>
      </c>
    </row>
    <row r="7" spans="1:9" ht="17.399999999999999">
      <c r="A7" s="118" t="s">
        <v>1057</v>
      </c>
      <c r="B7" s="119">
        <v>43147</v>
      </c>
      <c r="C7" s="86" t="str">
        <f t="shared" si="0"/>
        <v>(금)</v>
      </c>
      <c r="D7" s="84"/>
      <c r="E7" s="85"/>
      <c r="F7" s="86" t="str">
        <f t="shared" si="1"/>
        <v/>
      </c>
      <c r="G7" s="84"/>
      <c r="H7" s="85"/>
      <c r="I7" s="86" t="str">
        <f t="shared" si="2"/>
        <v/>
      </c>
    </row>
    <row r="8" spans="1:9" ht="17.399999999999999">
      <c r="A8" s="118" t="s">
        <v>1058</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1059</v>
      </c>
      <c r="B19" s="119">
        <v>43466</v>
      </c>
      <c r="C19" s="86" t="str">
        <f t="shared" si="0"/>
        <v>(화)</v>
      </c>
      <c r="D19" s="84"/>
      <c r="E19" s="85"/>
      <c r="F19" s="86" t="str">
        <f t="shared" si="1"/>
        <v/>
      </c>
      <c r="G19" s="84"/>
      <c r="H19" s="85"/>
      <c r="I19" s="86" t="str">
        <f t="shared" si="2"/>
        <v/>
      </c>
      <c r="J19" s="87"/>
    </row>
    <row r="20" spans="1:10" ht="17.399999999999999">
      <c r="A20" s="118" t="s">
        <v>1060</v>
      </c>
      <c r="B20" s="119">
        <v>43500</v>
      </c>
      <c r="C20" s="86" t="str">
        <f t="shared" si="0"/>
        <v>(월)</v>
      </c>
      <c r="D20" s="84"/>
      <c r="E20" s="85"/>
      <c r="F20" s="86" t="str">
        <f t="shared" si="1"/>
        <v/>
      </c>
      <c r="G20" s="84"/>
      <c r="H20" s="85"/>
      <c r="I20" s="86" t="str">
        <f t="shared" si="2"/>
        <v/>
      </c>
      <c r="J20" s="87"/>
    </row>
    <row r="21" spans="1:10" ht="17.399999999999999">
      <c r="A21" s="118" t="s">
        <v>1061</v>
      </c>
      <c r="B21" s="119">
        <v>43501</v>
      </c>
      <c r="C21" s="86" t="str">
        <f t="shared" si="0"/>
        <v>(화)</v>
      </c>
      <c r="D21" s="84"/>
      <c r="E21" s="85"/>
      <c r="F21" s="86" t="str">
        <f t="shared" si="1"/>
        <v/>
      </c>
      <c r="G21" s="84"/>
      <c r="H21" s="85"/>
      <c r="I21" s="86" t="str">
        <f t="shared" si="2"/>
        <v/>
      </c>
    </row>
    <row r="22" spans="1:10" ht="17.399999999999999">
      <c r="A22" s="118" t="s">
        <v>1060</v>
      </c>
      <c r="B22" s="119">
        <v>43502</v>
      </c>
      <c r="C22" s="86" t="str">
        <f t="shared" si="0"/>
        <v>(수)</v>
      </c>
      <c r="D22" s="84"/>
      <c r="E22" s="85"/>
      <c r="F22" s="86" t="str">
        <f t="shared" si="1"/>
        <v/>
      </c>
      <c r="G22" s="84"/>
      <c r="H22" s="85"/>
      <c r="I22" s="86" t="str">
        <f t="shared" si="2"/>
        <v/>
      </c>
    </row>
    <row r="23" spans="1:10" ht="17.399999999999999">
      <c r="A23" s="118" t="s">
        <v>1062</v>
      </c>
      <c r="B23" s="119">
        <v>43525</v>
      </c>
      <c r="C23" s="86" t="str">
        <f t="shared" si="0"/>
        <v>(금)</v>
      </c>
      <c r="D23" s="84"/>
      <c r="E23" s="85"/>
      <c r="F23" s="86" t="str">
        <f t="shared" si="1"/>
        <v/>
      </c>
      <c r="G23" s="84"/>
      <c r="H23" s="85"/>
      <c r="I23" s="86" t="str">
        <f t="shared" si="2"/>
        <v/>
      </c>
    </row>
    <row r="24" spans="1:10" ht="17.399999999999999">
      <c r="A24" s="118" t="s">
        <v>1063</v>
      </c>
      <c r="B24" s="119">
        <v>43591</v>
      </c>
      <c r="C24" s="86" t="str">
        <f t="shared" si="0"/>
        <v>(월)</v>
      </c>
      <c r="D24" s="84"/>
      <c r="E24" s="85"/>
      <c r="F24" s="86" t="str">
        <f t="shared" si="1"/>
        <v/>
      </c>
      <c r="G24" s="84"/>
      <c r="H24" s="85"/>
      <c r="I24" s="86" t="str">
        <f t="shared" si="2"/>
        <v/>
      </c>
    </row>
    <row r="25" spans="1:10" ht="17.399999999999999">
      <c r="A25" s="118" t="s">
        <v>1064</v>
      </c>
      <c r="B25" s="119">
        <v>43622</v>
      </c>
      <c r="C25" s="86" t="str">
        <f t="shared" si="0"/>
        <v>(목)</v>
      </c>
      <c r="D25" s="84"/>
      <c r="E25" s="85"/>
      <c r="F25" s="86" t="str">
        <f t="shared" si="1"/>
        <v/>
      </c>
      <c r="G25" s="84"/>
      <c r="H25" s="85"/>
      <c r="I25" s="86" t="str">
        <f t="shared" si="2"/>
        <v/>
      </c>
    </row>
    <row r="26" spans="1:10" ht="17.399999999999999">
      <c r="A26" s="118" t="s">
        <v>1065</v>
      </c>
      <c r="B26" s="119">
        <v>43692</v>
      </c>
      <c r="C26" s="86" t="str">
        <f t="shared" si="0"/>
        <v>(목)</v>
      </c>
      <c r="D26" s="84"/>
      <c r="E26" s="85"/>
      <c r="F26" s="86" t="str">
        <f t="shared" si="1"/>
        <v/>
      </c>
      <c r="G26" s="84"/>
      <c r="H26" s="85"/>
      <c r="I26" s="86" t="str">
        <f t="shared" si="2"/>
        <v/>
      </c>
    </row>
    <row r="27" spans="1:10" ht="17.399999999999999">
      <c r="A27" s="118" t="s">
        <v>1066</v>
      </c>
      <c r="B27" s="119">
        <v>43720</v>
      </c>
      <c r="C27" s="86" t="str">
        <f t="shared" si="0"/>
        <v>(목)</v>
      </c>
      <c r="D27" s="84"/>
      <c r="E27" s="85"/>
      <c r="F27" s="86" t="str">
        <f t="shared" si="1"/>
        <v/>
      </c>
      <c r="G27" s="84"/>
      <c r="H27" s="85"/>
      <c r="I27" s="86" t="str">
        <f t="shared" si="2"/>
        <v/>
      </c>
    </row>
    <row r="28" spans="1:10" ht="17.399999999999999">
      <c r="A28" s="118" t="s">
        <v>1067</v>
      </c>
      <c r="B28" s="119">
        <v>43721</v>
      </c>
      <c r="C28" s="86" t="str">
        <f t="shared" si="0"/>
        <v>(금)</v>
      </c>
      <c r="D28" s="84"/>
      <c r="E28" s="85"/>
      <c r="F28" s="86" t="str">
        <f t="shared" si="1"/>
        <v/>
      </c>
      <c r="G28" s="84"/>
      <c r="H28" s="85"/>
      <c r="I28" s="86" t="str">
        <f t="shared" si="2"/>
        <v/>
      </c>
    </row>
    <row r="29" spans="1:10" ht="17.399999999999999">
      <c r="A29" s="118" t="s">
        <v>1068</v>
      </c>
      <c r="B29" s="119">
        <v>43741</v>
      </c>
      <c r="C29" s="86" t="str">
        <f t="shared" si="0"/>
        <v>(목)</v>
      </c>
      <c r="D29" s="84"/>
      <c r="E29" s="85"/>
      <c r="F29" s="86" t="str">
        <f t="shared" si="1"/>
        <v/>
      </c>
      <c r="G29" s="84"/>
      <c r="H29" s="85"/>
      <c r="I29" s="86" t="str">
        <f t="shared" si="2"/>
        <v/>
      </c>
    </row>
    <row r="30" spans="1:10" ht="17.399999999999999">
      <c r="A30" s="118" t="s">
        <v>1069</v>
      </c>
      <c r="B30" s="119">
        <v>43747</v>
      </c>
      <c r="C30" s="86" t="str">
        <f t="shared" si="0"/>
        <v>(수)</v>
      </c>
      <c r="D30" s="84"/>
      <c r="E30" s="85"/>
      <c r="F30" s="86" t="str">
        <f t="shared" si="1"/>
        <v/>
      </c>
      <c r="G30" s="84"/>
      <c r="H30" s="85"/>
      <c r="I30" s="86" t="str">
        <f t="shared" si="2"/>
        <v/>
      </c>
    </row>
    <row r="31" spans="1:10" ht="17.399999999999999">
      <c r="A31" s="118" t="s">
        <v>1070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1114</v>
      </c>
      <c r="D305" s="86" t="s">
        <v>1114</v>
      </c>
      <c r="G305" s="86" t="s">
        <v>1114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SAMSUNG9</cp:lastModifiedBy>
  <dcterms:created xsi:type="dcterms:W3CDTF">2018-02-18T09:45:14Z</dcterms:created>
  <dcterms:modified xsi:type="dcterms:W3CDTF">2019-03-14T11:52:59Z</dcterms:modified>
</cp:coreProperties>
</file>