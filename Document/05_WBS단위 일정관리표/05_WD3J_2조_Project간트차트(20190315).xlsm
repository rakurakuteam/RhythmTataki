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영진전문대\3학년캡스톤디자인\리듬타타키\문서\05_WBS단위 일정관리표\"/>
    </mc:Choice>
  </mc:AlternateContent>
  <bookViews>
    <workbookView xWindow="0" yWindow="0" windowWidth="19200" windowHeight="7128"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Schedule!$M$3:$AB$129</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P5" i="2" l="1"/>
  <c r="AU5" i="2"/>
  <c r="AE6" i="2"/>
  <c r="AC7" i="2"/>
  <c r="AE8" i="2"/>
  <c r="AE9" i="2"/>
  <c r="AT11" i="2"/>
  <c r="AT12" i="2"/>
  <c r="AU13" i="2"/>
  <c r="AU14" i="2"/>
  <c r="AI16" i="2"/>
  <c r="AO16" i="2"/>
  <c r="AG17" i="2"/>
  <c r="AD18" i="2"/>
  <c r="AF19" i="2"/>
  <c r="AG20" i="2"/>
  <c r="AG21" i="2"/>
  <c r="AG22" i="2"/>
  <c r="AF23" i="2"/>
  <c r="AF24" i="2"/>
  <c r="AF25" i="2"/>
  <c r="AF26" i="2"/>
  <c r="AF27" i="2"/>
  <c r="AF28" i="2"/>
  <c r="AF29" i="2"/>
  <c r="AH31" i="2"/>
  <c r="AO31" i="2"/>
  <c r="AH32" i="2"/>
  <c r="AO32" i="2"/>
  <c r="AJ33" i="2"/>
  <c r="AF34" i="2"/>
  <c r="AF35" i="2"/>
  <c r="AF36" i="2"/>
  <c r="AG37" i="2"/>
  <c r="AL38" i="2"/>
  <c r="AG40" i="2"/>
  <c r="AL40" i="2"/>
  <c r="AH41" i="2"/>
  <c r="AH42" i="2"/>
  <c r="AH43" i="2"/>
  <c r="AH44" i="2"/>
  <c r="AH45" i="2"/>
  <c r="AH46" i="2"/>
  <c r="AH47" i="2"/>
  <c r="AG48" i="2"/>
  <c r="AF49" i="2"/>
  <c r="AF50" i="2"/>
  <c r="AF51" i="2"/>
  <c r="AF52" i="2"/>
  <c r="AH53" i="2"/>
  <c r="AG54" i="2"/>
  <c r="AG55" i="2"/>
  <c r="AF56" i="2"/>
  <c r="AG57" i="2"/>
  <c r="AG58" i="2"/>
  <c r="AJ58" i="2"/>
  <c r="AF59" i="2"/>
  <c r="AG60" i="2"/>
  <c r="AG61" i="2"/>
  <c r="AG62" i="2"/>
  <c r="AG63" i="2"/>
  <c r="AG64" i="2"/>
  <c r="AG65" i="2"/>
  <c r="AG66" i="2"/>
  <c r="AG67" i="2"/>
  <c r="AG68" i="2"/>
  <c r="AH69" i="2"/>
  <c r="AG70" i="2"/>
  <c r="AG71" i="2"/>
  <c r="AH72" i="2"/>
  <c r="AI73" i="2"/>
  <c r="AH74" i="2"/>
  <c r="AI75" i="2"/>
  <c r="AI76" i="2"/>
  <c r="AI77" i="2"/>
  <c r="AI78" i="2"/>
  <c r="AI79" i="2"/>
  <c r="AI80" i="2"/>
  <c r="AJ81" i="2"/>
  <c r="AJ82" i="2"/>
  <c r="AJ83" i="2"/>
  <c r="AJ84" i="2"/>
  <c r="AK86" i="2"/>
  <c r="AK87" i="2"/>
  <c r="AK88" i="2"/>
  <c r="AL89" i="2"/>
  <c r="AK90" i="2"/>
  <c r="AL91" i="2"/>
  <c r="AL92" i="2"/>
  <c r="AI94" i="2"/>
  <c r="AL94" i="2"/>
  <c r="AH95" i="2"/>
  <c r="AH96" i="2"/>
  <c r="AH97" i="2"/>
  <c r="AH98" i="2"/>
  <c r="AH99" i="2"/>
  <c r="AH100" i="2"/>
  <c r="AI101" i="2"/>
  <c r="AI102" i="2"/>
  <c r="AI103" i="2"/>
  <c r="AI104" i="2"/>
  <c r="AI105" i="2"/>
  <c r="AI106" i="2"/>
  <c r="AI107" i="2"/>
  <c r="AJ108" i="2"/>
  <c r="AJ109" i="2"/>
  <c r="AK110" i="2"/>
  <c r="AK111" i="2"/>
  <c r="AK112" i="2"/>
  <c r="AL113" i="2"/>
  <c r="AH114" i="2"/>
  <c r="AN114" i="2"/>
  <c r="AG115" i="2"/>
  <c r="AF116" i="2"/>
  <c r="AF117" i="2"/>
  <c r="AG118" i="2"/>
  <c r="AG119" i="2"/>
  <c r="AG120" i="2"/>
  <c r="AH121" i="2"/>
  <c r="AH122" i="2"/>
  <c r="AH123" i="2"/>
  <c r="AH124" i="2"/>
  <c r="AH126" i="2"/>
  <c r="AH127" i="2"/>
  <c r="AH128" i="2"/>
  <c r="AI130" i="2"/>
  <c r="AI131" i="2"/>
  <c r="AI132" i="2"/>
  <c r="AJ133" i="2"/>
  <c r="AK135" i="2"/>
  <c r="AN135" i="2"/>
  <c r="AK136" i="2"/>
  <c r="AK137" i="2"/>
  <c r="AK138" i="2"/>
  <c r="AL139" i="2"/>
  <c r="AL140" i="2"/>
  <c r="AM141" i="2"/>
  <c r="AN143" i="2"/>
  <c r="AN144" i="2"/>
  <c r="AN145" i="2"/>
  <c r="AO146" i="2"/>
  <c r="D29" i="4" l="1"/>
  <c r="E7" i="4"/>
  <c r="F7" i="4" s="1"/>
  <c r="H121" i="8"/>
  <c r="E8" i="4" l="1"/>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c r="F9" i="4"/>
  <c r="B24" i="3"/>
  <c r="AB2" i="2"/>
  <c r="D1" i="2"/>
  <c r="AB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comments1.xml><?xml version="1.0" encoding="utf-8"?>
<comments xmlns="http://schemas.openxmlformats.org/spreadsheetml/2006/main">
  <authors>
    <author>SAMSUNG9</author>
  </authors>
  <commentList>
    <comment ref="L65" authorId="0" shapeId="0">
      <text>
        <r>
          <rPr>
            <b/>
            <sz val="9"/>
            <color indexed="81"/>
            <rFont val="Tahoma"/>
            <family val="2"/>
          </rPr>
          <t xml:space="preserve">Miss : </t>
        </r>
        <r>
          <rPr>
            <b/>
            <sz val="9"/>
            <color indexed="81"/>
            <rFont val="돋움"/>
            <family val="3"/>
            <charset val="129"/>
          </rPr>
          <t>콤보</t>
        </r>
        <r>
          <rPr>
            <b/>
            <sz val="9"/>
            <color indexed="81"/>
            <rFont val="Tahoma"/>
            <family val="2"/>
          </rPr>
          <t xml:space="preserve"> </t>
        </r>
        <r>
          <rPr>
            <b/>
            <sz val="9"/>
            <color indexed="81"/>
            <rFont val="돋움"/>
            <family val="3"/>
            <charset val="129"/>
          </rPr>
          <t>취소</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t>
        </r>
        <r>
          <rPr>
            <b/>
            <sz val="9"/>
            <color indexed="81"/>
            <rFont val="돋움"/>
            <family val="3"/>
            <charset val="129"/>
          </rPr>
          <t>없음</t>
        </r>
        <r>
          <rPr>
            <b/>
            <sz val="9"/>
            <color indexed="81"/>
            <rFont val="Tahoma"/>
            <family val="2"/>
          </rPr>
          <t xml:space="preserve">.
Good : </t>
        </r>
        <r>
          <rPr>
            <b/>
            <sz val="9"/>
            <color indexed="81"/>
            <rFont val="돋움"/>
            <family val="3"/>
            <charset val="129"/>
          </rPr>
          <t>콤보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50</t>
        </r>
        <r>
          <rPr>
            <b/>
            <sz val="9"/>
            <color indexed="81"/>
            <rFont val="돋움"/>
            <family val="3"/>
            <charset val="129"/>
          </rPr>
          <t xml:space="preserve">점
</t>
        </r>
        <r>
          <rPr>
            <b/>
            <sz val="9"/>
            <color indexed="81"/>
            <rFont val="Tahoma"/>
            <family val="2"/>
          </rPr>
          <t xml:space="preserve">Perfect : </t>
        </r>
        <r>
          <rPr>
            <b/>
            <sz val="9"/>
            <color indexed="81"/>
            <rFont val="돋움"/>
            <family val="3"/>
            <charset val="129"/>
          </rPr>
          <t>콤보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100</t>
        </r>
        <r>
          <rPr>
            <b/>
            <sz val="9"/>
            <color indexed="81"/>
            <rFont val="돋움"/>
            <family val="3"/>
            <charset val="129"/>
          </rPr>
          <t>점</t>
        </r>
      </text>
    </comment>
  </commentList>
</comments>
</file>

<file path=xl/sharedStrings.xml><?xml version="1.0" encoding="utf-8"?>
<sst xmlns="http://schemas.openxmlformats.org/spreadsheetml/2006/main" count="1893" uniqueCount="1418">
  <si>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</si>
  <si>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</si>
  <si>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</si>
  <si>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</si>
  <si>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</si>
  <si>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</si>
  <si>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</si>
  <si>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</si>
  <si>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</si>
  <si>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</si>
  <si>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</si>
  <si>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</si>
  <si>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</si>
  <si>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</si>
  <si>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</si>
  <si>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</si>
  <si>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</si>
  <si>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</si>
  <si>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</si>
  <si>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</si>
  <si>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</si>
  <si>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</si>
  <si>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</si>
  <si>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</si>
  <si>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</si>
  <si>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</si>
  <si>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</si>
  <si>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</si>
  <si>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</si>
  <si>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</si>
  <si>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</si>
  <si>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</si>
  <si>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</si>
  <si>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</si>
  <si>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</si>
  <si>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</si>
  <si>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</si>
  <si>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</si>
  <si>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</si>
  <si>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</si>
  <si>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</si>
  <si>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</si>
  <si>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</si>
  <si>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</si>
  <si>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</si>
  <si>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</si>
  <si>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</si>
  <si>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</si>
  <si>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</si>
  <si>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</si>
  <si>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</si>
  <si>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</si>
  <si>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</si>
  <si>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</si>
  <si>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</si>
  <si>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</si>
  <si>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</si>
  <si>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</si>
  <si>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</si>
  <si>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</si>
  <si>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</si>
  <si>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</si>
  <si>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</si>
  <si>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</si>
  <si>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</si>
  <si>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</si>
  <si>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</si>
  <si>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</si>
  <si>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</si>
  <si>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</si>
  <si>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</si>
  <si>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</si>
  <si>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</si>
  <si>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</si>
  <si>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</si>
  <si>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</si>
  <si>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</si>
  <si>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</si>
  <si>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</si>
  <si>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</si>
  <si>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</si>
  <si>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</si>
  <si>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</si>
  <si>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</si>
  <si>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</si>
  <si>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</si>
  <si>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</si>
  <si>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</si>
  <si>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</si>
  <si>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</si>
  <si>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</si>
  <si>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</si>
  <si>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</si>
  <si>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</si>
  <si>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</si>
  <si>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</si>
  <si>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</si>
  <si>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</si>
  <si>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</si>
  <si>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</si>
  <si>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</si>
  <si>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</si>
  <si>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</si>
  <si>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</si>
  <si>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</si>
  <si>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</si>
  <si>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</si>
  <si>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</si>
  <si>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</si>
  <si>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</si>
  <si>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</si>
  <si>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</si>
  <si>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</si>
  <si>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</si>
  <si>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</si>
  <si>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</si>
  <si>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</si>
  <si>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</si>
  <si>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</si>
  <si>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</si>
  <si>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</si>
  <si>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</si>
  <si>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</si>
  <si>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</si>
  <si>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</si>
  <si>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</si>
  <si>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</si>
  <si>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</si>
  <si>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</si>
  <si>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</si>
  <si>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</si>
  <si>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</si>
  <si>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</si>
  <si>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</si>
  <si>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</si>
  <si>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</si>
  <si>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</si>
  <si>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</si>
  <si>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</si>
  <si>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</si>
  <si>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</si>
  <si>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</si>
  <si>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</si>
  <si>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</si>
  <si>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</si>
  <si>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</si>
  <si>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</si>
  <si>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</si>
  <si>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</si>
  <si>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</si>
  <si>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</si>
  <si>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</si>
  <si>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</si>
  <si>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</si>
  <si>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</si>
  <si>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</si>
  <si>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</si>
  <si>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</si>
  <si>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</si>
  <si>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</si>
  <si>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</si>
  <si>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</si>
  <si>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</si>
  <si>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</si>
  <si>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</si>
  <si>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</si>
  <si>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</si>
  <si>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</si>
  <si>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</si>
  <si>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</si>
  <si>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</si>
  <si>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</si>
  <si>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</si>
  <si>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</si>
  <si>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</si>
  <si>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</si>
  <si>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</si>
  <si>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</si>
  <si>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</si>
  <si>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</si>
  <si>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</si>
  <si>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</si>
  <si>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</si>
  <si>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</si>
  <si>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</si>
  <si>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</si>
  <si>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</si>
  <si>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</si>
  <si>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</si>
  <si>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</si>
  <si>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</si>
  <si>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</si>
  <si>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</si>
  <si>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</si>
  <si>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</si>
  <si>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</si>
  <si>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</si>
  <si>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</si>
  <si>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</si>
  <si>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</si>
  <si>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</si>
  <si>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</si>
  <si>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</si>
  <si>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</si>
  <si>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</si>
  <si>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</si>
  <si>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</si>
  <si>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</si>
  <si>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</si>
  <si>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</si>
  <si>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</si>
  <si>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</si>
  <si>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</si>
  <si>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</si>
  <si>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</si>
  <si>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</si>
  <si>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</si>
  <si>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</si>
  <si>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</si>
  <si>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</si>
  <si>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</si>
  <si>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</si>
  <si>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</si>
  <si>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</si>
  <si>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</si>
  <si>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</si>
  <si>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</si>
  <si>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</si>
  <si>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</si>
  <si>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</si>
  <si>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</si>
  <si>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</si>
  <si>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</si>
  <si>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</si>
  <si>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</si>
  <si>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</si>
  <si>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</si>
  <si>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</si>
  <si>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</si>
  <si>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</si>
  <si>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</si>
  <si>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</si>
  <si>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</si>
  <si>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</si>
  <si>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</si>
  <si>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</si>
  <si>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</si>
  <si>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</si>
  <si>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</si>
  <si>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</si>
  <si>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</si>
  <si>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</si>
  <si>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</si>
  <si>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</si>
  <si>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</si>
  <si>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</si>
  <si>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</si>
  <si>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</si>
  <si>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</si>
  <si>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</si>
  <si>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</si>
  <si>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</si>
  <si>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</si>
  <si>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</si>
  <si>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</si>
  <si>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</si>
  <si>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</si>
  <si>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</si>
  <si>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</si>
  <si>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</si>
  <si>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</si>
  <si>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</si>
  <si>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</si>
  <si>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</si>
  <si>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</si>
  <si>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</si>
  <si>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</si>
  <si>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</si>
  <si>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</si>
  <si>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</si>
  <si>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</si>
  <si>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</si>
  <si>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</si>
  <si>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</si>
  <si>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</si>
  <si>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</si>
  <si>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</si>
  <si>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</si>
  <si>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</si>
  <si>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</si>
  <si>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</si>
  <si>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</si>
  <si>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</si>
  <si>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</si>
  <si>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</si>
  <si>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</si>
  <si>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</si>
  <si>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</si>
  <si>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</si>
  <si>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</si>
  <si>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</si>
  <si>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</si>
  <si>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</si>
  <si>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</si>
  <si>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</si>
  <si>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</si>
  <si>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</si>
  <si>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</si>
  <si>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</si>
  <si>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</si>
  <si>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</si>
  <si>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</si>
  <si>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</si>
  <si>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</si>
  <si>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</si>
  <si>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</si>
  <si>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</si>
  <si>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</si>
  <si>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</si>
  <si>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</si>
  <si>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</si>
  <si>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</si>
  <si>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</si>
  <si>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</si>
  <si>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</si>
  <si>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</si>
  <si>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</si>
  <si>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</si>
  <si>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</si>
  <si>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</si>
  <si>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</si>
  <si>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</si>
  <si>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</si>
  <si>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</si>
  <si>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</si>
  <si>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</si>
  <si>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</si>
  <si>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</si>
  <si>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</si>
  <si>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</si>
  <si>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</si>
  <si>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</si>
  <si>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</si>
  <si>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</si>
  <si>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</si>
  <si>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</si>
  <si>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</si>
  <si>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</si>
  <si>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</si>
  <si>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</si>
  <si>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</si>
  <si>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</si>
  <si>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</si>
  <si>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</si>
  <si>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</si>
  <si>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</si>
  <si>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</si>
  <si>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</si>
  <si>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</si>
  <si>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</si>
  <si>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</si>
  <si>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</si>
  <si>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</si>
  <si>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</si>
  <si>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</si>
  <si>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</si>
  <si>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</si>
  <si>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</si>
  <si>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</si>
  <si>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</si>
  <si>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</si>
  <si>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</si>
  <si>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</si>
  <si>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</si>
  <si>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</si>
  <si>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</si>
  <si>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</si>
  <si>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</si>
  <si>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</si>
  <si>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</si>
  <si>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</si>
  <si>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</si>
  <si>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</si>
  <si>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</si>
  <si>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</si>
  <si>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</si>
  <si>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</si>
  <si>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</si>
  <si>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</si>
  <si>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</si>
  <si>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</si>
  <si>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</si>
  <si>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</si>
  <si>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</si>
  <si>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</si>
  <si>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</si>
  <si>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</si>
  <si>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</si>
  <si>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</si>
  <si>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</si>
  <si>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</si>
  <si>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</si>
  <si>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</si>
  <si>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</si>
  <si>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</si>
  <si>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</si>
  <si>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</si>
  <si>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</si>
  <si>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</si>
  <si>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</si>
  <si>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</si>
  <si>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</si>
  <si>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</si>
  <si>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</si>
  <si>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</si>
  <si>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</si>
  <si>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</si>
  <si>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</si>
  <si>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</si>
  <si>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</si>
  <si>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</si>
  <si>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</si>
  <si>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</si>
  <si>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</si>
  <si>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</si>
  <si>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</si>
  <si>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</si>
  <si>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</si>
  <si>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</si>
  <si>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</si>
  <si>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</si>
  <si>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</si>
  <si>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</si>
  <si>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</si>
  <si>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</si>
  <si>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</si>
  <si>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</si>
  <si>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</si>
  <si>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</si>
  <si>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</si>
  <si>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</si>
  <si>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</si>
  <si>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</si>
  <si>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</si>
  <si>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</si>
  <si>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</si>
  <si>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</si>
  <si>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</si>
  <si>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</si>
  <si>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</si>
  <si>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</si>
  <si>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</si>
  <si>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</si>
  <si>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</si>
  <si>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</si>
  <si>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</si>
  <si>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</si>
  <si>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</si>
  <si>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</si>
  <si>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</si>
  <si>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</si>
  <si>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</si>
  <si>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</si>
  <si>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</si>
  <si>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</si>
  <si>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</si>
  <si>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</si>
  <si>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</si>
  <si>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</si>
  <si>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</si>
  <si>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</si>
  <si>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</si>
  <si>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</si>
  <si>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</si>
  <si>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</si>
  <si>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</si>
  <si>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</si>
  <si>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</si>
  <si>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</si>
  <si>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</si>
  <si>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</si>
  <si>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</si>
  <si>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</si>
  <si>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</si>
  <si>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</si>
  <si>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</si>
  <si>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</si>
  <si>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</si>
  <si>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</si>
  <si>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</si>
  <si>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</si>
  <si>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</si>
  <si>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</si>
  <si>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</si>
  <si>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</si>
  <si>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</si>
  <si>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</si>
  <si>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</si>
  <si>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</si>
  <si>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</si>
  <si>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</si>
  <si>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</si>
  <si>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</si>
  <si>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</si>
  <si>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</si>
  <si>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</si>
  <si>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</si>
  <si>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</si>
  <si>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</si>
  <si>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</si>
  <si>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</si>
  <si>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</si>
  <si>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</si>
  <si>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</si>
  <si>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</si>
  <si>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</si>
  <si>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</si>
  <si>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</si>
  <si>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</si>
  <si>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</si>
  <si>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</si>
  <si>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</si>
  <si>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</si>
  <si>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</si>
  <si>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</si>
  <si>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</si>
  <si>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</si>
  <si>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</si>
  <si>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</si>
  <si>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</si>
  <si>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</si>
  <si>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</si>
  <si>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</si>
  <si>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</si>
  <si>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</si>
  <si>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</si>
  <si>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</si>
  <si>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</si>
  <si>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</si>
  <si>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</si>
  <si>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</si>
  <si>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</si>
  <si>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</si>
  <si>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</si>
  <si>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</si>
  <si>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</si>
  <si>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</si>
  <si>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</si>
  <si>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</si>
  <si>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</si>
  <si>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</si>
  <si>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</si>
  <si>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</si>
  <si>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</si>
  <si>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</si>
  <si>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</si>
  <si>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</si>
  <si>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</si>
  <si>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</si>
  <si>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</si>
  <si>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</si>
  <si>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</si>
  <si>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</si>
  <si>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</si>
  <si>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</si>
  <si>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</si>
  <si>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</si>
  <si>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</si>
  <si>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</si>
  <si>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</si>
  <si>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</si>
  <si>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</si>
  <si>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</si>
  <si>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</si>
  <si>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</si>
  <si>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</si>
  <si>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</si>
  <si>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</si>
  <si>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</si>
  <si>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</si>
  <si>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</si>
  <si>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</si>
  <si>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</si>
  <si>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</si>
  <si>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</si>
  <si>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</si>
  <si>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</si>
  <si>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</si>
  <si>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</si>
  <si>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</si>
  <si>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</si>
  <si>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</si>
  <si>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</si>
  <si>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</si>
  <si>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</si>
  <si>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</si>
  <si>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</si>
  <si>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</si>
  <si>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</si>
  <si>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</si>
  <si>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</si>
  <si>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</si>
  <si>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</si>
  <si>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</si>
  <si>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</si>
  <si>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</si>
  <si>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</si>
  <si>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</si>
  <si>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</si>
  <si>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</si>
  <si>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</si>
  <si>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</si>
  <si>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</si>
  <si>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</si>
  <si>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</si>
  <si>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</si>
  <si>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</si>
  <si>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</si>
  <si>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</si>
  <si>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</si>
  <si>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</si>
  <si>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</si>
  <si>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</si>
  <si>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</si>
  <si>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</si>
  <si>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</si>
  <si>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</si>
  <si>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</si>
  <si>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</si>
  <si>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</si>
  <si>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</si>
  <si>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</si>
  <si>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</si>
  <si>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</si>
  <si>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</si>
  <si>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</si>
  <si>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</si>
  <si>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</si>
  <si>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</si>
  <si>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</si>
  <si>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</si>
  <si>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</si>
  <si>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</si>
  <si>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</si>
  <si>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</si>
  <si>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</si>
  <si>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</si>
  <si>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</si>
  <si>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</si>
  <si>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</si>
  <si>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</si>
  <si>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</si>
  <si>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</si>
  <si>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</si>
  <si>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</si>
  <si>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</si>
  <si>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</si>
  <si>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</si>
  <si>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</si>
  <si>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</si>
  <si>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</si>
  <si>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</si>
  <si>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</si>
  <si>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</si>
  <si>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</si>
  <si>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</si>
  <si>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</si>
  <si>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</si>
  <si>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</si>
  <si>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</si>
  <si>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</si>
  <si>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</si>
  <si>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</si>
  <si>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</si>
  <si>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</si>
  <si>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</si>
  <si>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</si>
  <si>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</si>
  <si>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</si>
  <si>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</si>
  <si>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</si>
  <si>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</si>
  <si>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</si>
  <si>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</si>
  <si>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</si>
  <si>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</si>
  <si>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</si>
  <si>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</si>
  <si>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</si>
  <si>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</si>
  <si>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</si>
  <si>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</si>
  <si>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</si>
  <si>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</si>
  <si>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</si>
  <si>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</si>
  <si>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</si>
  <si>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</si>
  <si>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</si>
  <si>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</si>
  <si>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</si>
  <si>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</si>
  <si>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</si>
  <si>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</si>
  <si>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</si>
  <si>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</si>
  <si>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</si>
  <si>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</si>
  <si>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</si>
  <si>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</si>
  <si>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</si>
  <si>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</si>
  <si>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</si>
  <si>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</si>
  <si>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</si>
  <si>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</si>
  <si>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</si>
  <si>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</si>
  <si>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</si>
  <si>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</si>
  <si>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</si>
  <si>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</si>
  <si>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</si>
  <si>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</si>
  <si>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</si>
  <si>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</si>
  <si>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</si>
  <si>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</si>
  <si>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</si>
  <si>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</si>
  <si>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</si>
  <si>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</si>
  <si>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</si>
  <si>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</si>
  <si>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</si>
  <si>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</si>
  <si>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</si>
  <si>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</si>
  <si>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</si>
  <si>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</si>
  <si>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</si>
  <si>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</si>
  <si>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</si>
  <si>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</si>
  <si>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</si>
  <si>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</si>
  <si>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</si>
  <si>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</si>
  <si>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</si>
  <si>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</si>
  <si>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</si>
  <si>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</si>
  <si>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</si>
  <si>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</si>
  <si>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</si>
  <si>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</si>
  <si>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</si>
  <si>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</si>
  <si>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</si>
  <si>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</si>
  <si>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</si>
  <si>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</si>
  <si>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</si>
  <si>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</si>
  <si>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</si>
  <si>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</si>
  <si>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</si>
  <si>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</si>
  <si>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</si>
  <si>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</si>
  <si>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</si>
  <si>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</si>
  <si>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</si>
  <si>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</si>
  <si>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</si>
  <si>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</si>
  <si>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</si>
  <si>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</si>
  <si>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</si>
  <si>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</si>
  <si>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</si>
  <si>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</si>
  <si>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</si>
  <si>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</si>
  <si>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</si>
  <si>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</si>
  <si>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</si>
  <si>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</si>
  <si>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</si>
  <si>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</si>
  <si>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</si>
  <si>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</si>
  <si>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</si>
  <si>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</si>
  <si>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</si>
  <si>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</si>
  <si>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</si>
  <si>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</si>
  <si>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</si>
  <si>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</si>
  <si>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</si>
  <si>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</si>
  <si>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</si>
  <si>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</si>
  <si>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</si>
  <si>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</si>
  <si>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</si>
  <si>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</si>
  <si>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</si>
  <si>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</si>
  <si>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</si>
  <si>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</si>
  <si>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</si>
  <si>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</si>
  <si>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</si>
  <si>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</si>
  <si>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</si>
  <si>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</si>
  <si>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</si>
  <si>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</si>
  <si>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</si>
  <si>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</si>
  <si>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</si>
  <si>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</si>
  <si>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</si>
  <si>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</si>
  <si>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</si>
  <si>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</si>
  <si>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</si>
  <si>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</si>
  <si>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</si>
  <si>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</si>
  <si>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</si>
  <si>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</si>
  <si>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</si>
  <si>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</si>
  <si>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</si>
  <si>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</si>
  <si>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</si>
  <si>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</si>
  <si>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</si>
  <si>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</si>
  <si>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</si>
  <si>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</si>
  <si>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</si>
  <si>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</si>
  <si>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</si>
  <si>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</si>
  <si>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</si>
  <si>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</si>
  <si>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</si>
  <si>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</si>
  <si>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</si>
  <si>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</si>
  <si>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</si>
  <si>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</si>
  <si>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</si>
  <si>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</si>
  <si>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</si>
  <si>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</si>
  <si>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</si>
  <si>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</si>
  <si>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</si>
  <si>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</si>
  <si>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</si>
  <si>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</si>
  <si>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</si>
  <si>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</si>
  <si>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</si>
  <si>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</si>
  <si>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</si>
  <si>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</si>
  <si>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</si>
  <si>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</si>
  <si>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</si>
  <si>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</si>
  <si>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</si>
  <si>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</si>
  <si>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</si>
  <si>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</si>
  <si>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</si>
  <si>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</si>
  <si>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</si>
  <si>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</si>
  <si>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</si>
  <si>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</si>
  <si>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</si>
  <si>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</si>
  <si>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</si>
  <si>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</si>
  <si>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</si>
  <si>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</si>
  <si>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</si>
  <si>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</si>
  <si>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</si>
  <si>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</si>
  <si>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</si>
  <si>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</si>
  <si>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</si>
  <si>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</si>
  <si>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</si>
  <si>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</si>
  <si>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</si>
  <si>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</si>
  <si>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</si>
  <si>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</si>
  <si>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</si>
  <si>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</si>
  <si>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</si>
  <si>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</si>
  <si>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</si>
  <si>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</si>
  <si>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</si>
  <si>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</si>
  <si>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</si>
  <si>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</si>
  <si>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</si>
  <si>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</si>
  <si>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</si>
  <si>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</si>
  <si>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</si>
  <si>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</si>
  <si>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</si>
  <si>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</si>
  <si>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</si>
  <si>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</si>
  <si>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</si>
  <si>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</si>
  <si>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</si>
  <si>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</si>
  <si>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</si>
  <si>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</si>
  <si>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</si>
  <si>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</si>
  <si>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</si>
  <si>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</si>
  <si>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</si>
  <si>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</si>
  <si>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</si>
  <si>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</si>
  <si>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</si>
  <si>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</si>
  <si>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</si>
  <si>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</si>
  <si>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</si>
  <si>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</si>
  <si>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</si>
  <si>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</si>
  <si>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</si>
  <si>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</si>
  <si>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</si>
  <si>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</si>
  <si>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</si>
  <si>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</si>
  <si>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</si>
  <si>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</si>
  <si>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</si>
  <si>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</si>
  <si>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</si>
  <si>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</si>
  <si>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</si>
  <si>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</si>
  <si>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</si>
  <si>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</si>
  <si>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</si>
  <si>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</si>
  <si>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</si>
  <si>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</si>
  <si>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</si>
  <si>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</si>
  <si>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</si>
  <si>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</si>
  <si>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</si>
  <si>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</si>
  <si>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</si>
  <si>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</si>
  <si>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</si>
  <si>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</si>
  <si>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</si>
  <si>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</si>
  <si>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</si>
  <si>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</si>
  <si>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</si>
  <si>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</si>
  <si>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</si>
  <si>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</si>
  <si>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</si>
  <si>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</si>
  <si>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</si>
  <si>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</si>
  <si>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</si>
  <si>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</si>
  <si>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</si>
  <si>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프로젝트 종료</t>
  </si>
  <si>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</si>
  <si>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</si>
  <si>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</si>
  <si>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</si>
  <si>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</si>
  <si>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</si>
  <si>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</si>
  <si>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</si>
  <si>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</si>
  <si>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</si>
  <si>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논리모델구축</t>
  </si>
  <si>
    <t>설계</t>
  </si>
  <si>
    <t>UI 설계</t>
  </si>
  <si>
    <t>시스템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</si>
  <si>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</si>
  <si>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</si>
  <si>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</si>
  <si>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</si>
  <si>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</si>
  <si>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</si>
  <si>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</si>
  <si>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</si>
  <si>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</si>
  <si>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</si>
  <si>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</si>
  <si>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</si>
  <si>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</si>
  <si>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</si>
  <si>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</si>
  <si>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</si>
  <si>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</si>
  <si>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</si>
  <si>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</si>
  <si>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</si>
  <si>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</si>
  <si>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</si>
  <si>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</si>
  <si>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</si>
  <si>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</si>
  <si>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</si>
  <si>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</si>
  <si>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</si>
  <si>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</si>
  <si>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</si>
  <si>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</si>
  <si>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</si>
  <si>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</si>
  <si>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</si>
  <si>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</si>
  <si>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</si>
  <si>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</si>
  <si>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</si>
  <si>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</si>
  <si>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</si>
  <si>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</si>
  <si>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</si>
  <si>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</si>
  <si>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</si>
  <si>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</si>
  <si>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</si>
  <si>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</si>
  <si>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</si>
  <si>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</si>
  <si>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</si>
  <si>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</si>
  <si>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</si>
  <si>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</si>
  <si>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</si>
  <si>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</si>
  <si>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</si>
  <si>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</si>
  <si>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</si>
  <si>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</si>
  <si>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</si>
  <si>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</si>
  <si>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</si>
  <si>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</si>
  <si>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</si>
  <si>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</si>
  <si>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</si>
  <si>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</si>
  <si>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</si>
  <si>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2</t>
  </si>
  <si>
    <t>2.1</t>
  </si>
  <si>
    <t>2.1.2</t>
  </si>
  <si>
    <t>2.2</t>
  </si>
  <si>
    <t>2.2.2</t>
  </si>
  <si>
    <t>2.3</t>
  </si>
  <si>
    <t>2.3.1</t>
  </si>
  <si>
    <t>2.3.1.2</t>
  </si>
  <si>
    <t>2.3.1.2.1</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</si>
  <si>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</si>
  <si>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</si>
  <si>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</si>
  <si>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</si>
  <si>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</si>
  <si>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</si>
  <si>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</si>
  <si>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</si>
  <si>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</si>
  <si>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</si>
  <si>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</si>
  <si>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</si>
  <si>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</si>
  <si>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</si>
  <si>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</si>
  <si>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</si>
  <si>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</si>
  <si>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</si>
  <si>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</si>
  <si>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</si>
  <si>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</si>
  <si>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</si>
  <si>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</si>
  <si>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</si>
  <si>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</si>
  <si>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</si>
  <si>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</si>
  <si>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</si>
  <si>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</si>
  <si>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</si>
  <si>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TODAY</t>
    <phoneticPr fontId="2"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</si>
  <si>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</si>
  <si>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</si>
  <si>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</si>
  <si>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</si>
  <si>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</si>
  <si>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</si>
  <si>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리듬타타키</t>
    <phoneticPr fontId="2" type="noConversion"/>
  </si>
  <si>
    <t>김도형</t>
  </si>
  <si>
    <t>전체</t>
  </si>
  <si>
    <t>류경호</t>
  </si>
  <si>
    <t>시장조사 및 벤치마킹</t>
  </si>
  <si>
    <t>컨텐츠 기획</t>
  </si>
  <si>
    <t>김보령</t>
  </si>
  <si>
    <t>김가연</t>
  </si>
  <si>
    <t>김도형, 김가연, 김보령</t>
  </si>
  <si>
    <t>프로토타입</t>
  </si>
  <si>
    <t>송주헌</t>
  </si>
  <si>
    <t>아두이노 센서 값 컨트롤</t>
  </si>
  <si>
    <t>아두이노 블루투스 통신 확인</t>
  </si>
  <si>
    <t>아두이노 센서 값 블루투스로 통신 및 레이턴시 확인</t>
  </si>
  <si>
    <t>프로젝트기획서.hwp</t>
  </si>
  <si>
    <t>분석보고서.hwp</t>
  </si>
  <si>
    <t>김가연, 김보령</t>
  </si>
  <si>
    <t>컨텐츠기획서.hwp</t>
  </si>
  <si>
    <t>게임 화면 정의</t>
  </si>
  <si>
    <t>웹 화면 정의</t>
  </si>
  <si>
    <t>디자인기획서.hwp</t>
  </si>
  <si>
    <t>개발 단계 및 일정 설계</t>
  </si>
  <si>
    <t>WBS단위 일정관리표.xls</t>
  </si>
  <si>
    <t>DB설계</t>
  </si>
  <si>
    <t>DB설계보고서</t>
  </si>
  <si>
    <t>메뉴구성도, 웹사이트메뉴 구조표</t>
  </si>
  <si>
    <t>프로토타입 개발</t>
  </si>
  <si>
    <t>2.1.3</t>
  </si>
  <si>
    <t>2.1.3.1</t>
  </si>
  <si>
    <t>2.1.3.2</t>
  </si>
  <si>
    <t>2.2.4</t>
  </si>
  <si>
    <t>2.2.4.1</t>
  </si>
  <si>
    <t>2.2.4.2</t>
  </si>
  <si>
    <t>2.3.1.3</t>
  </si>
  <si>
    <t>2.3.1.4</t>
  </si>
  <si>
    <t>아두이노</t>
  </si>
  <si>
    <t>서버, DB</t>
  </si>
  <si>
    <t>2.3.1.1.1</t>
  </si>
  <si>
    <t>2.3.1.1.2</t>
  </si>
  <si>
    <t>2.3.1.1.3</t>
  </si>
  <si>
    <t>2.3.1.1.4</t>
  </si>
  <si>
    <t>2.3.1.1.5</t>
  </si>
  <si>
    <t>2.3.1.4.1</t>
  </si>
  <si>
    <t>웹 서비스</t>
  </si>
  <si>
    <t>서버구축(AWS)</t>
  </si>
  <si>
    <t>2.3.1.3.1</t>
  </si>
  <si>
    <t>숭주헌</t>
  </si>
  <si>
    <t>프로토타입용 드럼 개발</t>
  </si>
  <si>
    <t>김가연, 김도형</t>
  </si>
  <si>
    <t>아두이노 센서 값과 Unity 블루투스 시리얼 통신</t>
  </si>
  <si>
    <t>김도형, 송주헌</t>
  </si>
  <si>
    <t>게임구현(유니티)</t>
  </si>
  <si>
    <t>프리모드</t>
  </si>
  <si>
    <t>연주모드</t>
  </si>
  <si>
    <t>게임모드</t>
  </si>
  <si>
    <t>노래선택 화면 씬 구현</t>
  </si>
  <si>
    <t>사용자 로컬의 오디오 파일 불러오기 Test</t>
  </si>
  <si>
    <t>게임화면 씬 구현</t>
  </si>
  <si>
    <t>화면 터치 시의 씬 구현</t>
  </si>
  <si>
    <t>2.3.1.2.1.4</t>
  </si>
  <si>
    <t>노트 값 생성</t>
  </si>
  <si>
    <t>노트 값 txt 저장</t>
  </si>
  <si>
    <t>2.3.1.2.1.5</t>
  </si>
  <si>
    <t>2.3.1.2.1.6</t>
  </si>
  <si>
    <t>게임 종료 씬 구현</t>
  </si>
  <si>
    <t>게임 화면 녹화 기능</t>
  </si>
  <si>
    <t>저장하기 클릭 시 DB저장</t>
  </si>
  <si>
    <t>DEFINED</t>
    <phoneticPr fontId="8" type="noConversion"/>
  </si>
  <si>
    <t>C:\Temp</t>
    <phoneticPr fontId="8" type="noConversion"/>
  </si>
  <si>
    <t>파워포인트</t>
    <phoneticPr fontId="8" type="noConversion"/>
  </si>
  <si>
    <t>ppt*</t>
    <phoneticPr fontId="8" type="noConversion"/>
  </si>
  <si>
    <t>자동지정</t>
    <phoneticPr fontId="8" type="noConversion"/>
  </si>
  <si>
    <t>워드</t>
    <phoneticPr fontId="8" type="noConversion"/>
  </si>
  <si>
    <t>doc*</t>
    <phoneticPr fontId="8" type="noConversion"/>
  </si>
  <si>
    <t>엑셀</t>
    <phoneticPr fontId="8" type="noConversion"/>
  </si>
  <si>
    <t>xls*</t>
    <phoneticPr fontId="8" type="noConversion"/>
  </si>
  <si>
    <t>Auto CAD</t>
    <phoneticPr fontId="8" type="noConversion"/>
  </si>
  <si>
    <t>cad</t>
    <phoneticPr fontId="8" type="noConversion"/>
  </si>
  <si>
    <t>c:\cad\cad\cad.exe</t>
    <phoneticPr fontId="8" type="noConversion"/>
  </si>
  <si>
    <t>아크로에디터</t>
    <phoneticPr fontId="8" type="noConversion"/>
  </si>
  <si>
    <t>ace</t>
    <phoneticPr fontId="8" type="noConversion"/>
  </si>
  <si>
    <t>c:\ace\aaa.exe</t>
    <phoneticPr fontId="8" type="noConversion"/>
  </si>
  <si>
    <t>메모장</t>
    <phoneticPr fontId="8" type="noConversion"/>
  </si>
  <si>
    <t>txt</t>
    <phoneticPr fontId="8" type="noConversion"/>
  </si>
  <si>
    <t>C:\WINDOWS\system32\notepad.exe</t>
    <phoneticPr fontId="8" type="noConversion"/>
  </si>
  <si>
    <t>E</t>
    <phoneticPr fontId="2" type="noConversion"/>
  </si>
  <si>
    <t>1:English,82:Korean</t>
    <phoneticPr fontId="2" type="noConversion"/>
  </si>
  <si>
    <t>소개페이지</t>
  </si>
  <si>
    <t>편집 툴</t>
  </si>
  <si>
    <t>스토어</t>
  </si>
  <si>
    <t>2.3.1.3.2</t>
  </si>
  <si>
    <t>2.3.1.3.3</t>
  </si>
  <si>
    <t>2.3.1.3.4</t>
  </si>
  <si>
    <t>화면에 노트 구현</t>
  </si>
  <si>
    <t>노트 판정 스크립트 구현</t>
  </si>
  <si>
    <t>노트 타격 효과 구현</t>
  </si>
  <si>
    <t>2.3.1.2.2.1</t>
  </si>
  <si>
    <t>2.3.1.2.2.2</t>
  </si>
  <si>
    <t>2.3.1.2.2.3</t>
  </si>
  <si>
    <t>2.3.1.2.2.4</t>
  </si>
  <si>
    <t>2.3.1.2.2.5</t>
  </si>
  <si>
    <t>2.3.1.2.2.6</t>
  </si>
  <si>
    <t>2.3.1.2.2.7</t>
  </si>
  <si>
    <t>김도형, 김가연</t>
  </si>
  <si>
    <t>속도 및 모드 선택</t>
  </si>
  <si>
    <t>속도(1,2,3) 모드(easy, normal, hard)</t>
  </si>
  <si>
    <t>12곡 노트 생성</t>
  </si>
  <si>
    <t>게임 시작 로딩 기능 구현</t>
  </si>
  <si>
    <t>ready -&gt; start 후 노래 재생</t>
  </si>
  <si>
    <t>2.3.1.2.2.8</t>
  </si>
  <si>
    <t>miss, good, perfect</t>
  </si>
  <si>
    <t>콤보에 따른 화면 표시</t>
  </si>
  <si>
    <t>점수 계산 및 화면에 점수 반영</t>
  </si>
  <si>
    <t>콤보에 따른 효과 구현</t>
  </si>
  <si>
    <t>판정에 따라 실시간 화면에 반영</t>
  </si>
  <si>
    <t>2.3.1.2.2.9</t>
  </si>
  <si>
    <t>일시정지</t>
  </si>
  <si>
    <t>FFT로 오디오 분석</t>
  </si>
  <si>
    <t>분석자료에서 최고 Hz추출</t>
  </si>
  <si>
    <t>노트생성</t>
  </si>
  <si>
    <t>노트 자동 생성 검토</t>
  </si>
  <si>
    <t>버그 수정 및 검토</t>
  </si>
  <si>
    <t>김가연, 김가연</t>
  </si>
  <si>
    <t>게임 내 로그인 구현</t>
  </si>
  <si>
    <t>로그인 씬 구현</t>
  </si>
  <si>
    <t>회원가입 씬 구현</t>
  </si>
  <si>
    <t>회원가입 기능 구현</t>
  </si>
  <si>
    <t>로그인 기능 구현</t>
  </si>
  <si>
    <t>구글 연동</t>
  </si>
  <si>
    <t>구글 자동 로그인</t>
  </si>
  <si>
    <t>게임선택 화면 씬</t>
  </si>
  <si>
    <t>게임 설명 화면 구현</t>
  </si>
  <si>
    <t>2.3.1.2.3.1</t>
  </si>
  <si>
    <t>2.3.1.2.3.2</t>
  </si>
  <si>
    <t>2.3.1.2.3.3</t>
  </si>
  <si>
    <t>2.3.1.2.3.4</t>
  </si>
  <si>
    <t>2.3.1.2.3.5</t>
  </si>
  <si>
    <t>2.3.1.2.3.6</t>
  </si>
  <si>
    <t>2.3.1.2.3.7</t>
  </si>
  <si>
    <t>2.3.1.2.3.8</t>
  </si>
  <si>
    <t>2.3.1.2.3.9</t>
  </si>
  <si>
    <t>2.3.1.2.3.10</t>
  </si>
  <si>
    <t>2.3.1.2.3.11</t>
  </si>
  <si>
    <t>2.3.1.2.3.12</t>
  </si>
  <si>
    <t>2.3.1.2.3.13</t>
  </si>
  <si>
    <t>2.3.1.2.3.14</t>
  </si>
  <si>
    <t>2.3.1.2.3.15</t>
  </si>
  <si>
    <t>2.3.1.2.3.16</t>
  </si>
  <si>
    <t>2.3.1.2.4.1</t>
  </si>
  <si>
    <t>2.3.1.2.4.2</t>
  </si>
  <si>
    <t>동영상으로 처리, 건너뛰기</t>
  </si>
  <si>
    <t>노래 재생</t>
  </si>
  <si>
    <t>2.3.1.2.4.3</t>
  </si>
  <si>
    <t>2.3.1.2.4.4</t>
  </si>
  <si>
    <t>구름 오르기 게임.</t>
  </si>
  <si>
    <t>커맨드 랜덤 생성 메소드</t>
  </si>
  <si>
    <t>커맨드에 따른 구름 생성 메소드</t>
  </si>
  <si>
    <t>커맨드에 맞춘 자동 점프</t>
  </si>
  <si>
    <t>커맨드 Miss 시 생명 감소</t>
  </si>
  <si>
    <t>생셩 총 3개</t>
  </si>
  <si>
    <t>게임 오버 씬 구현</t>
  </si>
  <si>
    <t>점수, 콤보</t>
  </si>
  <si>
    <t>블록 없애기 게임</t>
  </si>
  <si>
    <t>블록 랜덤 생성</t>
  </si>
  <si>
    <t>2.3.1.2.4.5</t>
  </si>
  <si>
    <t>2.3.1.2.4.6</t>
  </si>
  <si>
    <t>2.3.1.2.4.7</t>
  </si>
  <si>
    <t>2.3.1.2.4.8</t>
  </si>
  <si>
    <t>2.3.1.2.4.9</t>
  </si>
  <si>
    <t>2.3.1.2.4.10</t>
  </si>
  <si>
    <t>2.3.1.2.4.11</t>
  </si>
  <si>
    <t>타격 시 블록 제거,  효과 구현</t>
  </si>
  <si>
    <t>2.3.1.2.4.12</t>
  </si>
  <si>
    <t>점수에 따른 노래 배속</t>
  </si>
  <si>
    <t>콤보 효과</t>
  </si>
  <si>
    <t>2.3.1.2.4.13</t>
  </si>
  <si>
    <t>2.3.1.2.4.14</t>
  </si>
  <si>
    <t>시간 경과 시 게임종료</t>
  </si>
  <si>
    <t>2.3.1.2.4.15</t>
  </si>
  <si>
    <t>2.3.1.2.4.16</t>
  </si>
  <si>
    <t>EC2 인스턴스 생성</t>
  </si>
  <si>
    <t>Ubuntu</t>
  </si>
  <si>
    <t>개발환경 구축</t>
  </si>
  <si>
    <t>PHP, Laravel</t>
  </si>
  <si>
    <t>2.3.1.4.1.1</t>
  </si>
  <si>
    <t>2.3.1.4.1.2</t>
  </si>
  <si>
    <t>스키마 생성</t>
  </si>
  <si>
    <t>마이그레이션</t>
  </si>
  <si>
    <t>모델 생성</t>
  </si>
  <si>
    <t>관계정의</t>
  </si>
  <si>
    <t>저장소 생성</t>
  </si>
  <si>
    <t>S3 버킷 생성</t>
  </si>
  <si>
    <t>CloudFront 생성</t>
  </si>
  <si>
    <t>파일 업로드 및 다운로드</t>
  </si>
  <si>
    <t>로그인 구현</t>
  </si>
  <si>
    <t>회원가입 및 로그인</t>
  </si>
  <si>
    <t>소셜로그인</t>
  </si>
  <si>
    <t>Google</t>
  </si>
  <si>
    <t>관리자 페이지</t>
  </si>
  <si>
    <t>회원관리</t>
  </si>
  <si>
    <t>상품관리</t>
  </si>
  <si>
    <t>재고, 주문 현황, 배송상태 등</t>
  </si>
  <si>
    <t>게시판관리</t>
  </si>
  <si>
    <t>노트 공유</t>
  </si>
  <si>
    <t>라우팅, 컨트롤러</t>
  </si>
  <si>
    <t>오디오 편집 요청에 따른 컨트롤러 작성</t>
  </si>
  <si>
    <t>게시판 정렬</t>
  </si>
  <si>
    <t>게시판 검색</t>
  </si>
  <si>
    <t>게시글 조회 및 추천</t>
  </si>
  <si>
    <t>상품주문</t>
  </si>
  <si>
    <t>2.3.1.4.1.3</t>
  </si>
  <si>
    <t>2.3.1.4.1.4</t>
  </si>
  <si>
    <t>2.3.1.4.1.5</t>
  </si>
  <si>
    <t>2.3.1.4.2</t>
  </si>
  <si>
    <t>2.3.1.4.2.1</t>
  </si>
  <si>
    <t>2.3.1.4.2.2</t>
  </si>
  <si>
    <t>2.3.1.4.2.3</t>
  </si>
  <si>
    <t>2.3.1.4.3</t>
  </si>
  <si>
    <t>2.3.1.4.3.1</t>
  </si>
  <si>
    <t>2.3.1.4.3.2</t>
  </si>
  <si>
    <t>2.3.1.4.4</t>
  </si>
  <si>
    <t>2.3.1.4.4.1</t>
  </si>
  <si>
    <t>2.3.1.4.4.2</t>
  </si>
  <si>
    <t>2.3.1.4.4.3</t>
  </si>
  <si>
    <t>2.3.1.4.5</t>
  </si>
  <si>
    <t>2.3.1.4.5.1</t>
  </si>
  <si>
    <t>2.3.1.4.5.2</t>
  </si>
  <si>
    <t>2.3.1.4.5.3</t>
  </si>
  <si>
    <t>2.3.1.4.5.4</t>
  </si>
  <si>
    <t>2.3.1.4.5.5</t>
  </si>
  <si>
    <t>2.3.1.4.5.6</t>
  </si>
  <si>
    <t>소리마당(메인페이지)</t>
  </si>
  <si>
    <t>메인게시판 구현</t>
  </si>
  <si>
    <t>게시물 상세페이지 구현</t>
  </si>
  <si>
    <t>유저 개인페이지 구현</t>
  </si>
  <si>
    <t>소개페이지 메인 구현</t>
  </si>
  <si>
    <t>소개페이지 하단 구현</t>
  </si>
  <si>
    <t>음원페이지 메인 구현</t>
  </si>
  <si>
    <t>음원 절개선 표시 구현</t>
  </si>
  <si>
    <t>저장 및 로그인 구현</t>
  </si>
  <si>
    <t>마이페이지 구현</t>
  </si>
  <si>
    <t>주문 및 주문확인 페이지 구현</t>
  </si>
  <si>
    <t>배송확인 페이지 구현</t>
  </si>
  <si>
    <t>2.3.1.3.1.1</t>
  </si>
  <si>
    <t>2.3.1.3.1.2</t>
  </si>
  <si>
    <t>2.3.1.3.2.1</t>
  </si>
  <si>
    <t>2.3.1.3.2.2</t>
  </si>
  <si>
    <t>2.3.1.3.3.1</t>
  </si>
  <si>
    <t>2.3.1.3.3.2</t>
  </si>
  <si>
    <t>2.3.1.3.4.1</t>
  </si>
  <si>
    <t>2.3.1.3.4.2</t>
  </si>
  <si>
    <t>2.3.1.3.4.3</t>
  </si>
  <si>
    <t>2.3.1.3.4.4</t>
  </si>
  <si>
    <t>프로토 타입 발표</t>
  </si>
  <si>
    <t>PPT 작성</t>
  </si>
  <si>
    <t>발표 준비</t>
  </si>
  <si>
    <t>프로토타입 결과분석 보고서 작성</t>
  </si>
  <si>
    <t>2.3.1.5</t>
  </si>
  <si>
    <t>2.3.1.5.1</t>
  </si>
  <si>
    <t>2.3.1.5.2</t>
  </si>
  <si>
    <t>2.3.1.5.3</t>
  </si>
  <si>
    <t>로그인</t>
  </si>
  <si>
    <t>회원가입 창</t>
  </si>
  <si>
    <t>로그인 창</t>
  </si>
  <si>
    <t>2.3.1.3.2.3</t>
  </si>
  <si>
    <t>2.3.1.3.5</t>
  </si>
  <si>
    <t>2.3.1.3.5.1</t>
  </si>
  <si>
    <t>2.3.1.3.5.2</t>
  </si>
  <si>
    <t>2.3.1.3.5.3</t>
  </si>
  <si>
    <t>류경호, 송주헌</t>
  </si>
  <si>
    <t>계획_x000D_
작업량</t>
    <phoneticPr fontId="8" type="noConversion"/>
  </si>
  <si>
    <t>계획_x000D_
기간</t>
    <phoneticPr fontId="8" type="noConversion"/>
  </si>
  <si>
    <t>task_group</t>
    <phoneticPr fontId="8" type="noConversion"/>
  </si>
  <si>
    <t>비고</t>
    <phoneticPr fontId="8" type="noConversion"/>
  </si>
  <si>
    <t>총_x000D_
작업량</t>
    <phoneticPr fontId="8" type="noConversion"/>
  </si>
  <si>
    <t>실제_x000D_
완료일</t>
    <phoneticPr fontId="8" type="noConversion"/>
  </si>
  <si>
    <t>실제_x000D_
총기간</t>
    <phoneticPr fontId="8" type="noConversion"/>
  </si>
  <si>
    <t>계획</t>
    <phoneticPr fontId="8" type="noConversion"/>
  </si>
  <si>
    <t>실적*</t>
    <phoneticPr fontId="8" type="noConversion"/>
  </si>
  <si>
    <t>{"TASK_FIRST_COL":"5","START_ROW":"5","WBS_AREA_LAST_COL":"28"}</t>
    <phoneticPr fontId="8" type="noConversion"/>
  </si>
  <si>
    <t>SCHEDULE_SHEET_POSITION:3545121314151617181920212223242526272829</t>
    <phoneticPr fontId="2" type="noConversion"/>
  </si>
  <si>
    <t>wbs_level</t>
    <phoneticPr fontId="8" type="noConversion"/>
  </si>
  <si>
    <t>WBS</t>
    <phoneticPr fontId="8" type="noConversion"/>
  </si>
  <si>
    <t>작업*</t>
    <phoneticPr fontId="8" type="noConversion"/>
  </si>
  <si>
    <t>시작일*</t>
    <phoneticPr fontId="8" type="noConversion"/>
  </si>
  <si>
    <t>완료일*</t>
    <phoneticPr fontId="8" type="noConversion"/>
  </si>
  <si>
    <t>Calendar</t>
    <phoneticPr fontId="8" type="noConversion"/>
  </si>
  <si>
    <t>총_x000D_
기간</t>
    <phoneticPr fontId="8" type="noConversion"/>
  </si>
  <si>
    <t>실제_x000D_
시작일</t>
    <phoneticPr fontId="8" type="noConversion"/>
  </si>
  <si>
    <t>실제_x000D_
총작업량</t>
    <phoneticPr fontId="8" type="noConversion"/>
  </si>
  <si>
    <t>가중치</t>
    <phoneticPr fontId="8" type="noConversion"/>
  </si>
  <si>
    <t>담당</t>
    <phoneticPr fontId="8" type="noConversion"/>
  </si>
  <si>
    <t>산출물</t>
    <phoneticPr fontId="8" type="noConversion"/>
  </si>
  <si>
    <t>프로젝트 진행율 - 일정변경 관리하지 않을때</t>
    <phoneticPr fontId="8" type="noConversion"/>
  </si>
  <si>
    <t>실제 진행된 작업량</t>
    <phoneticPr fontId="8" type="noConversion"/>
  </si>
  <si>
    <t>일정변경관리 하지 않을 때 현재까지 실제로 진행된 작업기간을 표시함(총기간 x 총실적진행율)</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</si>
</sst>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b/>
      <sz val="9"/>
      <color indexed="81"/>
      <name val="Tahoma"/>
      <family val="2"/>
    </font>
    <font>
      <b/>
      <sz val="9"/>
      <color indexed="81"/>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8">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NumberFormat="1" applyFont="1" applyFill="1" applyBorder="1" applyAlignment="1" applyProtection="1">
      <alignment horizontal="left" vertical="top"/>
      <protection locked="0"/>
    </xf>
    <xf numFmtId="0" fontId="44" fillId="0" borderId="7" xfId="4" applyFont="1" applyFill="1" applyBorder="1" applyAlignment="1" applyProtection="1">
      <alignment horizontal="left" vertical="top"/>
      <protection locked="0"/>
    </xf>
    <xf numFmtId="14" fontId="44" fillId="0" borderId="7" xfId="4" applyNumberFormat="1" applyFont="1" applyFill="1" applyBorder="1" applyAlignment="1" applyProtection="1">
      <alignment horizontal="left" vertical="top"/>
      <protection locked="0"/>
    </xf>
    <xf numFmtId="0" fontId="12" fillId="8" borderId="7" xfId="4" quotePrefix="1" applyFont="1" applyFill="1" applyBorder="1" applyAlignment="1" applyProtection="1">
      <alignment horizontal="right" vertical="top"/>
      <protection locked="0"/>
    </xf>
    <xf numFmtId="0" fontId="12" fillId="8" borderId="7" xfId="4" applyFont="1" applyFill="1" applyBorder="1" applyAlignment="1" applyProtection="1">
      <alignment horizontal="left" vertical="top"/>
      <protection locked="0"/>
    </xf>
    <xf numFmtId="0" fontId="44" fillId="8" borderId="7" xfId="4" applyFont="1" applyFill="1" applyBorder="1" applyAlignment="1" applyProtection="1">
      <alignment horizontal="left" vertical="top"/>
      <protection locked="0"/>
    </xf>
    <xf numFmtId="14" fontId="12" fillId="8" borderId="7" xfId="4" applyNumberFormat="1" applyFont="1" applyFill="1" applyBorder="1" applyAlignment="1" applyProtection="1">
      <alignment horizontal="center" vertical="top"/>
      <protection locked="0"/>
    </xf>
    <xf numFmtId="0" fontId="12" fillId="8" borderId="7" xfId="4" applyNumberFormat="1" applyFont="1" applyFill="1" applyBorder="1" applyAlignment="1" applyProtection="1">
      <alignment horizontal="left" vertical="top"/>
      <protection locked="0"/>
    </xf>
    <xf numFmtId="176" fontId="12" fillId="8" borderId="7" xfId="4" applyNumberFormat="1" applyFont="1" applyFill="1" applyBorder="1" applyAlignment="1" applyProtection="1">
      <alignment horizontal="center" vertical="top"/>
      <protection locked="0"/>
    </xf>
    <xf numFmtId="0" fontId="12" fillId="8" borderId="7" xfId="4" applyNumberFormat="1" applyFont="1" applyFill="1" applyBorder="1" applyAlignment="1" applyProtection="1">
      <alignment horizontal="center" vertical="top"/>
      <protection locked="0"/>
    </xf>
    <xf numFmtId="177" fontId="12" fillId="8" borderId="7" xfId="4" applyNumberFormat="1" applyFont="1" applyFill="1" applyBorder="1" applyAlignment="1" applyProtection="1">
      <alignment horizontal="center" vertical="top"/>
      <protection locked="0"/>
    </xf>
    <xf numFmtId="1" fontId="12" fillId="8" borderId="7" xfId="4" applyNumberFormat="1" applyFont="1" applyFill="1" applyBorder="1" applyAlignment="1" applyProtection="1">
      <alignment horizontal="center" vertical="top"/>
      <protection locked="0"/>
    </xf>
    <xf numFmtId="179" fontId="12" fillId="8" borderId="7" xfId="4" applyNumberFormat="1" applyFont="1" applyFill="1" applyBorder="1" applyAlignment="1" applyProtection="1">
      <alignment horizontal="center" vertical="top"/>
      <protection locked="0"/>
    </xf>
    <xf numFmtId="14" fontId="44" fillId="8" borderId="7" xfId="4" applyNumberFormat="1" applyFont="1" applyFill="1" applyBorder="1" applyAlignment="1" applyProtection="1">
      <alignment horizontal="left" vertical="top"/>
      <protection locked="0"/>
    </xf>
    <xf numFmtId="10" fontId="12" fillId="8" borderId="7" xfId="6" applyNumberFormat="1" applyFont="1" applyFill="1" applyBorder="1" applyAlignment="1" applyProtection="1">
      <alignment horizontal="right" vertical="top" wrapText="1"/>
      <protection locked="0"/>
    </xf>
    <xf numFmtId="10" fontId="12" fillId="8" borderId="7" xfId="6" applyNumberFormat="1" applyFont="1" applyFill="1" applyBorder="1" applyAlignment="1" applyProtection="1">
      <alignment horizontal="right" vertical="top"/>
      <protection locked="0"/>
    </xf>
    <xf numFmtId="0" fontId="12" fillId="3" borderId="7" xfId="4" quotePrefix="1" applyFont="1" applyFill="1" applyBorder="1" applyAlignment="1" applyProtection="1">
      <alignment horizontal="right" vertical="top"/>
      <protection locked="0"/>
    </xf>
    <xf numFmtId="0" fontId="12" fillId="3" borderId="7" xfId="4" applyFont="1" applyFill="1" applyBorder="1" applyAlignment="1" applyProtection="1">
      <alignment horizontal="left" vertical="top"/>
      <protection locked="0"/>
    </xf>
    <xf numFmtId="14" fontId="12" fillId="3" borderId="7" xfId="4" applyNumberFormat="1" applyFont="1" applyFill="1" applyBorder="1" applyAlignment="1" applyProtection="1">
      <alignment horizontal="center" vertical="top"/>
      <protection locked="0"/>
    </xf>
    <xf numFmtId="0" fontId="12" fillId="3" borderId="7" xfId="4" applyNumberFormat="1" applyFont="1" applyFill="1" applyBorder="1" applyAlignment="1" applyProtection="1">
      <alignment horizontal="left" vertical="top"/>
      <protection locked="0"/>
    </xf>
    <xf numFmtId="176" fontId="12" fillId="3" borderId="7" xfId="4" applyNumberFormat="1" applyFont="1" applyFill="1" applyBorder="1" applyAlignment="1" applyProtection="1">
      <alignment horizontal="center" vertical="top"/>
      <protection locked="0"/>
    </xf>
    <xf numFmtId="0" fontId="12" fillId="3" borderId="7" xfId="4" applyNumberFormat="1" applyFont="1" applyFill="1" applyBorder="1" applyAlignment="1" applyProtection="1">
      <alignment horizontal="center" vertical="top"/>
      <protection locked="0"/>
    </xf>
    <xf numFmtId="177" fontId="12" fillId="3" borderId="7" xfId="4" applyNumberFormat="1" applyFont="1" applyFill="1" applyBorder="1" applyAlignment="1" applyProtection="1">
      <alignment horizontal="center" vertical="top"/>
      <protection locked="0"/>
    </xf>
    <xf numFmtId="1" fontId="12" fillId="3" borderId="7" xfId="4" applyNumberFormat="1" applyFont="1" applyFill="1" applyBorder="1" applyAlignment="1" applyProtection="1">
      <alignment horizontal="center" vertical="top"/>
      <protection locked="0"/>
    </xf>
    <xf numFmtId="179" fontId="12" fillId="3" borderId="7" xfId="4" applyNumberFormat="1" applyFont="1" applyFill="1" applyBorder="1" applyAlignment="1" applyProtection="1">
      <alignment horizontal="center" vertical="top"/>
      <protection locked="0"/>
    </xf>
    <xf numFmtId="0" fontId="44" fillId="3" borderId="7" xfId="4" applyNumberFormat="1" applyFont="1" applyFill="1" applyBorder="1" applyAlignment="1" applyProtection="1">
      <alignment horizontal="left" vertical="top"/>
      <protection locked="0"/>
    </xf>
    <xf numFmtId="14" fontId="12" fillId="3" borderId="7" xfId="4" applyNumberFormat="1" applyFont="1" applyFill="1" applyBorder="1" applyAlignment="1" applyProtection="1">
      <alignment horizontal="left" vertical="top"/>
      <protection locked="0"/>
    </xf>
    <xf numFmtId="10" fontId="12" fillId="3" borderId="7" xfId="6" applyNumberFormat="1" applyFont="1" applyFill="1" applyBorder="1" applyAlignment="1" applyProtection="1">
      <alignment horizontal="right" vertical="top" wrapText="1"/>
      <protection locked="0"/>
    </xf>
    <xf numFmtId="10" fontId="12" fillId="3" borderId="7" xfId="6" applyNumberFormat="1" applyFont="1" applyFill="1" applyBorder="1" applyAlignment="1" applyProtection="1">
      <alignment horizontal="right" vertical="top"/>
      <protection locked="0"/>
    </xf>
    <xf numFmtId="14" fontId="12" fillId="8" borderId="7" xfId="4" applyNumberFormat="1" applyFont="1" applyFill="1" applyBorder="1" applyAlignment="1" applyProtection="1">
      <alignment horizontal="left" vertical="top"/>
      <protection locked="0"/>
    </xf>
    <xf numFmtId="0" fontId="44" fillId="3" borderId="7" xfId="4" applyFont="1" applyFill="1" applyBorder="1" applyAlignment="1" applyProtection="1">
      <alignment horizontal="left" vertical="top"/>
      <protection locked="0"/>
    </xf>
    <xf numFmtId="14" fontId="12" fillId="0" borderId="7" xfId="4" applyNumberFormat="1" applyFont="1" applyBorder="1" applyAlignment="1" applyProtection="1">
      <alignment horizontal="center"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0E02-4275-ACEB-495AD0403410}"/>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43</xdr:col>
      <xdr:colOff>761999</xdr:colOff>
      <xdr:row>3</xdr:row>
      <xdr:rowOff>59690</xdr:rowOff>
    </xdr:from>
    <xdr:to>
      <xdr:col>43</xdr:col>
      <xdr:colOff>761999</xdr:colOff>
      <xdr:row>146</xdr:row>
      <xdr:rowOff>0</xdr:rowOff>
    </xdr:to>
    <xdr:cxnSp macro="">
      <xdr:nvCxnSpPr>
        <xdr:cNvPr id="2" name="직선 화살표 연결선 1"/>
        <xdr:cNvCxnSpPr/>
      </xdr:nvCxnSpPr>
      <xdr:spPr>
        <a:xfrm>
          <a:off x="24094439" y="753110"/>
          <a:ext cx="0" cy="21642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3</xdr:row>
      <xdr:rowOff>59690</xdr:rowOff>
    </xdr:from>
    <xdr:to>
      <xdr:col>34</xdr:col>
      <xdr:colOff>0</xdr:colOff>
      <xdr:row>146</xdr:row>
      <xdr:rowOff>0</xdr:rowOff>
    </xdr:to>
    <xdr:cxnSp macro="">
      <xdr:nvCxnSpPr>
        <xdr:cNvPr id="3" name="직선 화살표 연결선 2"/>
        <xdr:cNvCxnSpPr/>
      </xdr:nvCxnSpPr>
      <xdr:spPr>
        <a:xfrm>
          <a:off x="12771120" y="753110"/>
          <a:ext cx="0" cy="21642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62049</xdr:colOff>
      <xdr:row>145</xdr:row>
      <xdr:rowOff>19050</xdr:rowOff>
    </xdr:from>
    <xdr:to>
      <xdr:col>40</xdr:col>
      <xdr:colOff>124098</xdr:colOff>
      <xdr:row>145</xdr:row>
      <xdr:rowOff>133350</xdr:rowOff>
    </xdr:to>
    <xdr:sp macro="" textlink="">
      <xdr:nvSpPr>
        <xdr:cNvPr id="4" name="직사각형 3"/>
        <xdr:cNvSpPr/>
      </xdr:nvSpPr>
      <xdr:spPr>
        <a:xfrm>
          <a:off x="13701849" y="22261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62049</xdr:colOff>
      <xdr:row>145</xdr:row>
      <xdr:rowOff>76200</xdr:rowOff>
    </xdr:from>
    <xdr:to>
      <xdr:col>40</xdr:col>
      <xdr:colOff>62049</xdr:colOff>
      <xdr:row>145</xdr:row>
      <xdr:rowOff>76200</xdr:rowOff>
    </xdr:to>
    <xdr:cxnSp macro="">
      <xdr:nvCxnSpPr>
        <xdr:cNvPr id="5" name="직선 화살표 연결선 4"/>
        <xdr:cNvCxnSpPr/>
      </xdr:nvCxnSpPr>
      <xdr:spPr>
        <a:xfrm>
          <a:off x="13701849" y="2231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144</xdr:row>
      <xdr:rowOff>19050</xdr:rowOff>
    </xdr:from>
    <xdr:to>
      <xdr:col>40</xdr:col>
      <xdr:colOff>62049</xdr:colOff>
      <xdr:row>144</xdr:row>
      <xdr:rowOff>133350</xdr:rowOff>
    </xdr:to>
    <xdr:sp macro="" textlink="">
      <xdr:nvSpPr>
        <xdr:cNvPr id="6" name="직사각형 5"/>
        <xdr:cNvSpPr/>
      </xdr:nvSpPr>
      <xdr:spPr>
        <a:xfrm>
          <a:off x="13515702" y="22109430"/>
          <a:ext cx="18614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144</xdr:row>
      <xdr:rowOff>76200</xdr:rowOff>
    </xdr:from>
    <xdr:to>
      <xdr:col>39</xdr:col>
      <xdr:colOff>20682</xdr:colOff>
      <xdr:row>144</xdr:row>
      <xdr:rowOff>76200</xdr:rowOff>
    </xdr:to>
    <xdr:cxnSp macro="">
      <xdr:nvCxnSpPr>
        <xdr:cNvPr id="7" name="직선 화살표 연결선 6"/>
        <xdr:cNvCxnSpPr/>
      </xdr:nvCxnSpPr>
      <xdr:spPr>
        <a:xfrm>
          <a:off x="13515702" y="2216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103414</xdr:colOff>
      <xdr:row>143</xdr:row>
      <xdr:rowOff>19050</xdr:rowOff>
    </xdr:from>
    <xdr:to>
      <xdr:col>40</xdr:col>
      <xdr:colOff>62049</xdr:colOff>
      <xdr:row>143</xdr:row>
      <xdr:rowOff>133350</xdr:rowOff>
    </xdr:to>
    <xdr:sp macro="" textlink="">
      <xdr:nvSpPr>
        <xdr:cNvPr id="8" name="직사각형 7"/>
        <xdr:cNvSpPr/>
      </xdr:nvSpPr>
      <xdr:spPr>
        <a:xfrm>
          <a:off x="13598434" y="219570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103414</xdr:colOff>
      <xdr:row>143</xdr:row>
      <xdr:rowOff>76200</xdr:rowOff>
    </xdr:from>
    <xdr:to>
      <xdr:col>39</xdr:col>
      <xdr:colOff>103414</xdr:colOff>
      <xdr:row>143</xdr:row>
      <xdr:rowOff>76200</xdr:rowOff>
    </xdr:to>
    <xdr:cxnSp macro="">
      <xdr:nvCxnSpPr>
        <xdr:cNvPr id="9" name="직선 화살표 연결선 8"/>
        <xdr:cNvCxnSpPr/>
      </xdr:nvCxnSpPr>
      <xdr:spPr>
        <a:xfrm>
          <a:off x="13598434" y="2201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142</xdr:row>
      <xdr:rowOff>19050</xdr:rowOff>
    </xdr:from>
    <xdr:to>
      <xdr:col>40</xdr:col>
      <xdr:colOff>124098</xdr:colOff>
      <xdr:row>142</xdr:row>
      <xdr:rowOff>133350</xdr:rowOff>
    </xdr:to>
    <xdr:sp macro="" textlink="">
      <xdr:nvSpPr>
        <xdr:cNvPr id="10" name="직사각형 9"/>
        <xdr:cNvSpPr/>
      </xdr:nvSpPr>
      <xdr:spPr>
        <a:xfrm>
          <a:off x="13515702" y="21804630"/>
          <a:ext cx="24819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142</xdr:row>
      <xdr:rowOff>76200</xdr:rowOff>
    </xdr:from>
    <xdr:to>
      <xdr:col>39</xdr:col>
      <xdr:colOff>20682</xdr:colOff>
      <xdr:row>142</xdr:row>
      <xdr:rowOff>76200</xdr:rowOff>
    </xdr:to>
    <xdr:cxnSp macro="">
      <xdr:nvCxnSpPr>
        <xdr:cNvPr id="11" name="직선 화살표 연결선 10"/>
        <xdr:cNvCxnSpPr/>
      </xdr:nvCxnSpPr>
      <xdr:spPr>
        <a:xfrm>
          <a:off x="13515702" y="2186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41366</xdr:colOff>
      <xdr:row>140</xdr:row>
      <xdr:rowOff>19050</xdr:rowOff>
    </xdr:from>
    <xdr:to>
      <xdr:col>39</xdr:col>
      <xdr:colOff>0</xdr:colOff>
      <xdr:row>140</xdr:row>
      <xdr:rowOff>133350</xdr:rowOff>
    </xdr:to>
    <xdr:sp macro="" textlink="">
      <xdr:nvSpPr>
        <xdr:cNvPr id="12" name="직사각형 11"/>
        <xdr:cNvSpPr/>
      </xdr:nvSpPr>
      <xdr:spPr>
        <a:xfrm>
          <a:off x="13391606" y="21499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41366</xdr:colOff>
      <xdr:row>140</xdr:row>
      <xdr:rowOff>76200</xdr:rowOff>
    </xdr:from>
    <xdr:to>
      <xdr:col>38</xdr:col>
      <xdr:colOff>41366</xdr:colOff>
      <xdr:row>140</xdr:row>
      <xdr:rowOff>76200</xdr:rowOff>
    </xdr:to>
    <xdr:cxnSp macro="">
      <xdr:nvCxnSpPr>
        <xdr:cNvPr id="13" name="직선 화살표 연결선 12"/>
        <xdr:cNvCxnSpPr/>
      </xdr:nvCxnSpPr>
      <xdr:spPr>
        <a:xfrm>
          <a:off x="13391606" y="2155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103414</xdr:colOff>
      <xdr:row>139</xdr:row>
      <xdr:rowOff>19050</xdr:rowOff>
    </xdr:from>
    <xdr:to>
      <xdr:col>38</xdr:col>
      <xdr:colOff>41366</xdr:colOff>
      <xdr:row>139</xdr:row>
      <xdr:rowOff>133350</xdr:rowOff>
    </xdr:to>
    <xdr:sp macro="" textlink="">
      <xdr:nvSpPr>
        <xdr:cNvPr id="14" name="직사각형 13"/>
        <xdr:cNvSpPr/>
      </xdr:nvSpPr>
      <xdr:spPr>
        <a:xfrm>
          <a:off x="13308874" y="213474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103414</xdr:colOff>
      <xdr:row>139</xdr:row>
      <xdr:rowOff>76200</xdr:rowOff>
    </xdr:from>
    <xdr:to>
      <xdr:col>37</xdr:col>
      <xdr:colOff>103414</xdr:colOff>
      <xdr:row>139</xdr:row>
      <xdr:rowOff>76200</xdr:rowOff>
    </xdr:to>
    <xdr:cxnSp macro="">
      <xdr:nvCxnSpPr>
        <xdr:cNvPr id="15" name="직선 화살표 연결선 14"/>
        <xdr:cNvCxnSpPr/>
      </xdr:nvCxnSpPr>
      <xdr:spPr>
        <a:xfrm>
          <a:off x="13308874" y="2140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138</xdr:row>
      <xdr:rowOff>19050</xdr:rowOff>
    </xdr:from>
    <xdr:to>
      <xdr:col>37</xdr:col>
      <xdr:colOff>103414</xdr:colOff>
      <xdr:row>138</xdr:row>
      <xdr:rowOff>133350</xdr:rowOff>
    </xdr:to>
    <xdr:sp macro="" textlink="">
      <xdr:nvSpPr>
        <xdr:cNvPr id="16" name="직사각형 15"/>
        <xdr:cNvSpPr/>
      </xdr:nvSpPr>
      <xdr:spPr>
        <a:xfrm>
          <a:off x="13267508" y="21195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138</xdr:row>
      <xdr:rowOff>76200</xdr:rowOff>
    </xdr:from>
    <xdr:to>
      <xdr:col>37</xdr:col>
      <xdr:colOff>62048</xdr:colOff>
      <xdr:row>138</xdr:row>
      <xdr:rowOff>76200</xdr:rowOff>
    </xdr:to>
    <xdr:cxnSp macro="">
      <xdr:nvCxnSpPr>
        <xdr:cNvPr id="17" name="직선 화살표 연결선 16"/>
        <xdr:cNvCxnSpPr/>
      </xdr:nvCxnSpPr>
      <xdr:spPr>
        <a:xfrm>
          <a:off x="13267508" y="2125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124097</xdr:colOff>
      <xdr:row>137</xdr:row>
      <xdr:rowOff>19050</xdr:rowOff>
    </xdr:from>
    <xdr:to>
      <xdr:col>37</xdr:col>
      <xdr:colOff>62048</xdr:colOff>
      <xdr:row>137</xdr:row>
      <xdr:rowOff>133350</xdr:rowOff>
    </xdr:to>
    <xdr:sp macro="" textlink="">
      <xdr:nvSpPr>
        <xdr:cNvPr id="18" name="직사각형 17"/>
        <xdr:cNvSpPr/>
      </xdr:nvSpPr>
      <xdr:spPr>
        <a:xfrm>
          <a:off x="13184777" y="21042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124097</xdr:colOff>
      <xdr:row>137</xdr:row>
      <xdr:rowOff>76200</xdr:rowOff>
    </xdr:from>
    <xdr:to>
      <xdr:col>36</xdr:col>
      <xdr:colOff>124097</xdr:colOff>
      <xdr:row>137</xdr:row>
      <xdr:rowOff>76200</xdr:rowOff>
    </xdr:to>
    <xdr:cxnSp macro="">
      <xdr:nvCxnSpPr>
        <xdr:cNvPr id="19" name="직선 화살표 연결선 18"/>
        <xdr:cNvCxnSpPr/>
      </xdr:nvCxnSpPr>
      <xdr:spPr>
        <a:xfrm>
          <a:off x="13184777" y="2109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136</xdr:row>
      <xdr:rowOff>19050</xdr:rowOff>
    </xdr:from>
    <xdr:to>
      <xdr:col>36</xdr:col>
      <xdr:colOff>124097</xdr:colOff>
      <xdr:row>136</xdr:row>
      <xdr:rowOff>133350</xdr:rowOff>
    </xdr:to>
    <xdr:sp macro="" textlink="">
      <xdr:nvSpPr>
        <xdr:cNvPr id="20" name="직사각형 19"/>
        <xdr:cNvSpPr/>
      </xdr:nvSpPr>
      <xdr:spPr>
        <a:xfrm>
          <a:off x="13122729" y="20890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136</xdr:row>
      <xdr:rowOff>76200</xdr:rowOff>
    </xdr:from>
    <xdr:to>
      <xdr:col>36</xdr:col>
      <xdr:colOff>62049</xdr:colOff>
      <xdr:row>136</xdr:row>
      <xdr:rowOff>76200</xdr:rowOff>
    </xdr:to>
    <xdr:cxnSp macro="">
      <xdr:nvCxnSpPr>
        <xdr:cNvPr id="21" name="직선 화살표 연결선 20"/>
        <xdr:cNvCxnSpPr/>
      </xdr:nvCxnSpPr>
      <xdr:spPr>
        <a:xfrm>
          <a:off x="13122729" y="2094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135</xdr:row>
      <xdr:rowOff>19050</xdr:rowOff>
    </xdr:from>
    <xdr:to>
      <xdr:col>36</xdr:col>
      <xdr:colOff>62049</xdr:colOff>
      <xdr:row>135</xdr:row>
      <xdr:rowOff>133350</xdr:rowOff>
    </xdr:to>
    <xdr:sp macro="" textlink="">
      <xdr:nvSpPr>
        <xdr:cNvPr id="22" name="직사각형 21"/>
        <xdr:cNvSpPr/>
      </xdr:nvSpPr>
      <xdr:spPr>
        <a:xfrm>
          <a:off x="13081363" y="2073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135</xdr:row>
      <xdr:rowOff>76200</xdr:rowOff>
    </xdr:from>
    <xdr:to>
      <xdr:col>36</xdr:col>
      <xdr:colOff>20683</xdr:colOff>
      <xdr:row>135</xdr:row>
      <xdr:rowOff>76200</xdr:rowOff>
    </xdr:to>
    <xdr:cxnSp macro="">
      <xdr:nvCxnSpPr>
        <xdr:cNvPr id="23" name="직선 화살표 연결선 22"/>
        <xdr:cNvCxnSpPr/>
      </xdr:nvCxnSpPr>
      <xdr:spPr>
        <a:xfrm>
          <a:off x="13081363" y="2079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134</xdr:row>
      <xdr:rowOff>19050</xdr:rowOff>
    </xdr:from>
    <xdr:to>
      <xdr:col>39</xdr:col>
      <xdr:colOff>0</xdr:colOff>
      <xdr:row>134</xdr:row>
      <xdr:rowOff>133350</xdr:rowOff>
    </xdr:to>
    <xdr:sp macro="" textlink="">
      <xdr:nvSpPr>
        <xdr:cNvPr id="24" name="직사각형 23"/>
        <xdr:cNvSpPr/>
      </xdr:nvSpPr>
      <xdr:spPr>
        <a:xfrm>
          <a:off x="13081363" y="20585430"/>
          <a:ext cx="4136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134</xdr:row>
      <xdr:rowOff>76200</xdr:rowOff>
    </xdr:from>
    <xdr:to>
      <xdr:col>36</xdr:col>
      <xdr:colOff>20683</xdr:colOff>
      <xdr:row>134</xdr:row>
      <xdr:rowOff>76200</xdr:rowOff>
    </xdr:to>
    <xdr:cxnSp macro="">
      <xdr:nvCxnSpPr>
        <xdr:cNvPr id="25" name="직선 화살표 연결선 24"/>
        <xdr:cNvCxnSpPr/>
      </xdr:nvCxnSpPr>
      <xdr:spPr>
        <a:xfrm>
          <a:off x="13081363" y="2064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132</xdr:row>
      <xdr:rowOff>19050</xdr:rowOff>
    </xdr:from>
    <xdr:to>
      <xdr:col>35</xdr:col>
      <xdr:colOff>103414</xdr:colOff>
      <xdr:row>132</xdr:row>
      <xdr:rowOff>133350</xdr:rowOff>
    </xdr:to>
    <xdr:sp macro="" textlink="">
      <xdr:nvSpPr>
        <xdr:cNvPr id="26" name="직사각형 25"/>
        <xdr:cNvSpPr/>
      </xdr:nvSpPr>
      <xdr:spPr>
        <a:xfrm>
          <a:off x="12936583" y="20280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132</xdr:row>
      <xdr:rowOff>76200</xdr:rowOff>
    </xdr:from>
    <xdr:to>
      <xdr:col>35</xdr:col>
      <xdr:colOff>20683</xdr:colOff>
      <xdr:row>132</xdr:row>
      <xdr:rowOff>76200</xdr:rowOff>
    </xdr:to>
    <xdr:cxnSp macro="">
      <xdr:nvCxnSpPr>
        <xdr:cNvPr id="27" name="직선 화살표 연결선 26"/>
        <xdr:cNvCxnSpPr/>
      </xdr:nvCxnSpPr>
      <xdr:spPr>
        <a:xfrm>
          <a:off x="12936583" y="2033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103414</xdr:colOff>
      <xdr:row>131</xdr:row>
      <xdr:rowOff>19050</xdr:rowOff>
    </xdr:from>
    <xdr:to>
      <xdr:col>35</xdr:col>
      <xdr:colOff>20683</xdr:colOff>
      <xdr:row>131</xdr:row>
      <xdr:rowOff>133350</xdr:rowOff>
    </xdr:to>
    <xdr:sp macro="" textlink="">
      <xdr:nvSpPr>
        <xdr:cNvPr id="28" name="직사각형 27"/>
        <xdr:cNvSpPr/>
      </xdr:nvSpPr>
      <xdr:spPr>
        <a:xfrm>
          <a:off x="12874534" y="20128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103414</xdr:colOff>
      <xdr:row>131</xdr:row>
      <xdr:rowOff>76200</xdr:rowOff>
    </xdr:from>
    <xdr:to>
      <xdr:col>34</xdr:col>
      <xdr:colOff>103414</xdr:colOff>
      <xdr:row>131</xdr:row>
      <xdr:rowOff>76200</xdr:rowOff>
    </xdr:to>
    <xdr:cxnSp macro="">
      <xdr:nvCxnSpPr>
        <xdr:cNvPr id="29" name="직선 화살표 연결선 28"/>
        <xdr:cNvCxnSpPr/>
      </xdr:nvCxnSpPr>
      <xdr:spPr>
        <a:xfrm>
          <a:off x="12874534" y="2018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130</xdr:row>
      <xdr:rowOff>19050</xdr:rowOff>
    </xdr:from>
    <xdr:to>
      <xdr:col>34</xdr:col>
      <xdr:colOff>103414</xdr:colOff>
      <xdr:row>130</xdr:row>
      <xdr:rowOff>133350</xdr:rowOff>
    </xdr:to>
    <xdr:sp macro="" textlink="">
      <xdr:nvSpPr>
        <xdr:cNvPr id="30" name="직사각형 29"/>
        <xdr:cNvSpPr/>
      </xdr:nvSpPr>
      <xdr:spPr>
        <a:xfrm>
          <a:off x="12791803" y="199758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130</xdr:row>
      <xdr:rowOff>76200</xdr:rowOff>
    </xdr:from>
    <xdr:to>
      <xdr:col>34</xdr:col>
      <xdr:colOff>20683</xdr:colOff>
      <xdr:row>130</xdr:row>
      <xdr:rowOff>76200</xdr:rowOff>
    </xdr:to>
    <xdr:cxnSp macro="">
      <xdr:nvCxnSpPr>
        <xdr:cNvPr id="31" name="직선 화살표 연결선 30"/>
        <xdr:cNvCxnSpPr/>
      </xdr:nvCxnSpPr>
      <xdr:spPr>
        <a:xfrm>
          <a:off x="12791803" y="2003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129</xdr:row>
      <xdr:rowOff>19050</xdr:rowOff>
    </xdr:from>
    <xdr:to>
      <xdr:col>35</xdr:col>
      <xdr:colOff>103414</xdr:colOff>
      <xdr:row>129</xdr:row>
      <xdr:rowOff>133350</xdr:rowOff>
    </xdr:to>
    <xdr:sp macro="" textlink="">
      <xdr:nvSpPr>
        <xdr:cNvPr id="37802" name="직사각형 37801"/>
        <xdr:cNvSpPr/>
      </xdr:nvSpPr>
      <xdr:spPr>
        <a:xfrm>
          <a:off x="12791803" y="198234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129</xdr:row>
      <xdr:rowOff>76200</xdr:rowOff>
    </xdr:from>
    <xdr:to>
      <xdr:col>34</xdr:col>
      <xdr:colOff>20683</xdr:colOff>
      <xdr:row>129</xdr:row>
      <xdr:rowOff>76200</xdr:rowOff>
    </xdr:to>
    <xdr:cxnSp macro="">
      <xdr:nvCxnSpPr>
        <xdr:cNvPr id="37803" name="직선 화살표 연결선 37802"/>
        <xdr:cNvCxnSpPr/>
      </xdr:nvCxnSpPr>
      <xdr:spPr>
        <a:xfrm>
          <a:off x="12791803" y="1988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127</xdr:row>
      <xdr:rowOff>19050</xdr:rowOff>
    </xdr:from>
    <xdr:to>
      <xdr:col>33</xdr:col>
      <xdr:colOff>20683</xdr:colOff>
      <xdr:row>127</xdr:row>
      <xdr:rowOff>133350</xdr:rowOff>
    </xdr:to>
    <xdr:sp macro="" textlink="">
      <xdr:nvSpPr>
        <xdr:cNvPr id="37804" name="직사각형 37803"/>
        <xdr:cNvSpPr/>
      </xdr:nvSpPr>
      <xdr:spPr>
        <a:xfrm>
          <a:off x="12564291" y="195186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127</xdr:row>
      <xdr:rowOff>76200</xdr:rowOff>
    </xdr:from>
    <xdr:to>
      <xdr:col>33</xdr:col>
      <xdr:colOff>20683</xdr:colOff>
      <xdr:row>127</xdr:row>
      <xdr:rowOff>76200</xdr:rowOff>
    </xdr:to>
    <xdr:cxnSp macro="">
      <xdr:nvCxnSpPr>
        <xdr:cNvPr id="37805" name="직선 화살표 연결선 37804"/>
        <xdr:cNvCxnSpPr/>
      </xdr:nvCxnSpPr>
      <xdr:spPr>
        <a:xfrm>
          <a:off x="12564291" y="195757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126</xdr:row>
      <xdr:rowOff>19050</xdr:rowOff>
    </xdr:from>
    <xdr:to>
      <xdr:col>33</xdr:col>
      <xdr:colOff>20683</xdr:colOff>
      <xdr:row>126</xdr:row>
      <xdr:rowOff>133350</xdr:rowOff>
    </xdr:to>
    <xdr:sp macro="" textlink="">
      <xdr:nvSpPr>
        <xdr:cNvPr id="37806" name="직사각형 37805"/>
        <xdr:cNvSpPr/>
      </xdr:nvSpPr>
      <xdr:spPr>
        <a:xfrm>
          <a:off x="12564291" y="19366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126</xdr:row>
      <xdr:rowOff>76200</xdr:rowOff>
    </xdr:from>
    <xdr:to>
      <xdr:col>33</xdr:col>
      <xdr:colOff>20683</xdr:colOff>
      <xdr:row>126</xdr:row>
      <xdr:rowOff>76200</xdr:rowOff>
    </xdr:to>
    <xdr:cxnSp macro="">
      <xdr:nvCxnSpPr>
        <xdr:cNvPr id="37807" name="직선 화살표 연결선 37806"/>
        <xdr:cNvCxnSpPr/>
      </xdr:nvCxnSpPr>
      <xdr:spPr>
        <a:xfrm>
          <a:off x="12564291" y="194233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125</xdr:row>
      <xdr:rowOff>19050</xdr:rowOff>
    </xdr:from>
    <xdr:to>
      <xdr:col>33</xdr:col>
      <xdr:colOff>20683</xdr:colOff>
      <xdr:row>125</xdr:row>
      <xdr:rowOff>133350</xdr:rowOff>
    </xdr:to>
    <xdr:sp macro="" textlink="">
      <xdr:nvSpPr>
        <xdr:cNvPr id="37808" name="직사각형 37807"/>
        <xdr:cNvSpPr/>
      </xdr:nvSpPr>
      <xdr:spPr>
        <a:xfrm>
          <a:off x="12564291" y="19213830"/>
          <a:ext cx="82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125</xdr:row>
      <xdr:rowOff>76200</xdr:rowOff>
    </xdr:from>
    <xdr:to>
      <xdr:col>33</xdr:col>
      <xdr:colOff>20683</xdr:colOff>
      <xdr:row>125</xdr:row>
      <xdr:rowOff>76200</xdr:rowOff>
    </xdr:to>
    <xdr:cxnSp macro="">
      <xdr:nvCxnSpPr>
        <xdr:cNvPr id="37809" name="직선 화살표 연결선 37808"/>
        <xdr:cNvCxnSpPr/>
      </xdr:nvCxnSpPr>
      <xdr:spPr>
        <a:xfrm>
          <a:off x="12564291" y="192709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123</xdr:row>
      <xdr:rowOff>19050</xdr:rowOff>
    </xdr:from>
    <xdr:to>
      <xdr:col>34</xdr:col>
      <xdr:colOff>20683</xdr:colOff>
      <xdr:row>123</xdr:row>
      <xdr:rowOff>133350</xdr:rowOff>
    </xdr:to>
    <xdr:sp macro="" textlink="">
      <xdr:nvSpPr>
        <xdr:cNvPr id="37810" name="직사각형 37809"/>
        <xdr:cNvSpPr/>
      </xdr:nvSpPr>
      <xdr:spPr>
        <a:xfrm>
          <a:off x="12729754" y="189090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123</xdr:row>
      <xdr:rowOff>76200</xdr:rowOff>
    </xdr:from>
    <xdr:to>
      <xdr:col>33</xdr:col>
      <xdr:colOff>103414</xdr:colOff>
      <xdr:row>123</xdr:row>
      <xdr:rowOff>76200</xdr:rowOff>
    </xdr:to>
    <xdr:cxnSp macro="">
      <xdr:nvCxnSpPr>
        <xdr:cNvPr id="37811" name="직선 화살표 연결선 37810"/>
        <xdr:cNvCxnSpPr/>
      </xdr:nvCxnSpPr>
      <xdr:spPr>
        <a:xfrm>
          <a:off x="12729754" y="1896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122</xdr:row>
      <xdr:rowOff>19050</xdr:rowOff>
    </xdr:from>
    <xdr:to>
      <xdr:col>33</xdr:col>
      <xdr:colOff>103414</xdr:colOff>
      <xdr:row>122</xdr:row>
      <xdr:rowOff>133350</xdr:rowOff>
    </xdr:to>
    <xdr:sp macro="" textlink="">
      <xdr:nvSpPr>
        <xdr:cNvPr id="37812" name="직사각형 37811"/>
        <xdr:cNvSpPr/>
      </xdr:nvSpPr>
      <xdr:spPr>
        <a:xfrm>
          <a:off x="12667706" y="18756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122</xdr:row>
      <xdr:rowOff>76200</xdr:rowOff>
    </xdr:from>
    <xdr:to>
      <xdr:col>33</xdr:col>
      <xdr:colOff>41366</xdr:colOff>
      <xdr:row>122</xdr:row>
      <xdr:rowOff>76200</xdr:rowOff>
    </xdr:to>
    <xdr:cxnSp macro="">
      <xdr:nvCxnSpPr>
        <xdr:cNvPr id="37813" name="직선 화살표 연결선 37812"/>
        <xdr:cNvCxnSpPr/>
      </xdr:nvCxnSpPr>
      <xdr:spPr>
        <a:xfrm>
          <a:off x="12667706" y="1881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121</xdr:row>
      <xdr:rowOff>19050</xdr:rowOff>
    </xdr:from>
    <xdr:to>
      <xdr:col>33</xdr:col>
      <xdr:colOff>41366</xdr:colOff>
      <xdr:row>121</xdr:row>
      <xdr:rowOff>133350</xdr:rowOff>
    </xdr:to>
    <xdr:sp macro="" textlink="">
      <xdr:nvSpPr>
        <xdr:cNvPr id="37814" name="직사각형 37813"/>
        <xdr:cNvSpPr/>
      </xdr:nvSpPr>
      <xdr:spPr>
        <a:xfrm>
          <a:off x="12647023" y="18604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121</xdr:row>
      <xdr:rowOff>76200</xdr:rowOff>
    </xdr:from>
    <xdr:to>
      <xdr:col>33</xdr:col>
      <xdr:colOff>41366</xdr:colOff>
      <xdr:row>121</xdr:row>
      <xdr:rowOff>76200</xdr:rowOff>
    </xdr:to>
    <xdr:cxnSp macro="">
      <xdr:nvCxnSpPr>
        <xdr:cNvPr id="37815" name="직선 화살표 연결선 37814"/>
        <xdr:cNvCxnSpPr/>
      </xdr:nvCxnSpPr>
      <xdr:spPr>
        <a:xfrm>
          <a:off x="12647023" y="18661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120</xdr:row>
      <xdr:rowOff>19050</xdr:rowOff>
    </xdr:from>
    <xdr:to>
      <xdr:col>34</xdr:col>
      <xdr:colOff>20683</xdr:colOff>
      <xdr:row>120</xdr:row>
      <xdr:rowOff>133350</xdr:rowOff>
    </xdr:to>
    <xdr:sp macro="" textlink="">
      <xdr:nvSpPr>
        <xdr:cNvPr id="37816" name="직사각형 37815"/>
        <xdr:cNvSpPr/>
      </xdr:nvSpPr>
      <xdr:spPr>
        <a:xfrm>
          <a:off x="12647023" y="18451830"/>
          <a:ext cx="144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120</xdr:row>
      <xdr:rowOff>76200</xdr:rowOff>
    </xdr:from>
    <xdr:to>
      <xdr:col>33</xdr:col>
      <xdr:colOff>41366</xdr:colOff>
      <xdr:row>120</xdr:row>
      <xdr:rowOff>76200</xdr:rowOff>
    </xdr:to>
    <xdr:cxnSp macro="">
      <xdr:nvCxnSpPr>
        <xdr:cNvPr id="37817" name="직선 화살표 연결선 37816"/>
        <xdr:cNvCxnSpPr/>
      </xdr:nvCxnSpPr>
      <xdr:spPr>
        <a:xfrm>
          <a:off x="12647023" y="18508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119</xdr:row>
      <xdr:rowOff>19050</xdr:rowOff>
    </xdr:from>
    <xdr:to>
      <xdr:col>32</xdr:col>
      <xdr:colOff>124097</xdr:colOff>
      <xdr:row>119</xdr:row>
      <xdr:rowOff>133350</xdr:rowOff>
    </xdr:to>
    <xdr:sp macro="" textlink="">
      <xdr:nvSpPr>
        <xdr:cNvPr id="37818" name="직사각형 37817"/>
        <xdr:cNvSpPr/>
      </xdr:nvSpPr>
      <xdr:spPr>
        <a:xfrm>
          <a:off x="12543609" y="1829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119</xdr:row>
      <xdr:rowOff>76200</xdr:rowOff>
    </xdr:from>
    <xdr:to>
      <xdr:col>32</xdr:col>
      <xdr:colOff>124097</xdr:colOff>
      <xdr:row>119</xdr:row>
      <xdr:rowOff>76200</xdr:rowOff>
    </xdr:to>
    <xdr:cxnSp macro="">
      <xdr:nvCxnSpPr>
        <xdr:cNvPr id="37819" name="직선 화살표 연결선 37818"/>
        <xdr:cNvCxnSpPr/>
      </xdr:nvCxnSpPr>
      <xdr:spPr>
        <a:xfrm>
          <a:off x="12543609" y="18356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118</xdr:row>
      <xdr:rowOff>19050</xdr:rowOff>
    </xdr:from>
    <xdr:to>
      <xdr:col>32</xdr:col>
      <xdr:colOff>124097</xdr:colOff>
      <xdr:row>118</xdr:row>
      <xdr:rowOff>133350</xdr:rowOff>
    </xdr:to>
    <xdr:sp macro="" textlink="">
      <xdr:nvSpPr>
        <xdr:cNvPr id="37820" name="직사각형 37819"/>
        <xdr:cNvSpPr/>
      </xdr:nvSpPr>
      <xdr:spPr>
        <a:xfrm>
          <a:off x="12543609" y="18147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118</xdr:row>
      <xdr:rowOff>76200</xdr:rowOff>
    </xdr:from>
    <xdr:to>
      <xdr:col>32</xdr:col>
      <xdr:colOff>124097</xdr:colOff>
      <xdr:row>118</xdr:row>
      <xdr:rowOff>76200</xdr:rowOff>
    </xdr:to>
    <xdr:cxnSp macro="">
      <xdr:nvCxnSpPr>
        <xdr:cNvPr id="37821" name="직선 화살표 연결선 37820"/>
        <xdr:cNvCxnSpPr/>
      </xdr:nvCxnSpPr>
      <xdr:spPr>
        <a:xfrm>
          <a:off x="12543609" y="18204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117</xdr:row>
      <xdr:rowOff>19050</xdr:rowOff>
    </xdr:from>
    <xdr:to>
      <xdr:col>32</xdr:col>
      <xdr:colOff>124097</xdr:colOff>
      <xdr:row>117</xdr:row>
      <xdr:rowOff>133350</xdr:rowOff>
    </xdr:to>
    <xdr:sp macro="" textlink="">
      <xdr:nvSpPr>
        <xdr:cNvPr id="37822" name="직사각형 37821"/>
        <xdr:cNvSpPr/>
      </xdr:nvSpPr>
      <xdr:spPr>
        <a:xfrm>
          <a:off x="12543609" y="1799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117</xdr:row>
      <xdr:rowOff>76200</xdr:rowOff>
    </xdr:from>
    <xdr:to>
      <xdr:col>32</xdr:col>
      <xdr:colOff>124097</xdr:colOff>
      <xdr:row>117</xdr:row>
      <xdr:rowOff>76200</xdr:rowOff>
    </xdr:to>
    <xdr:cxnSp macro="">
      <xdr:nvCxnSpPr>
        <xdr:cNvPr id="37823" name="직선 화살표 연결선 37822"/>
        <xdr:cNvCxnSpPr/>
      </xdr:nvCxnSpPr>
      <xdr:spPr>
        <a:xfrm>
          <a:off x="12543609" y="18051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116</xdr:row>
      <xdr:rowOff>19050</xdr:rowOff>
    </xdr:from>
    <xdr:to>
      <xdr:col>31</xdr:col>
      <xdr:colOff>41366</xdr:colOff>
      <xdr:row>116</xdr:row>
      <xdr:rowOff>133350</xdr:rowOff>
    </xdr:to>
    <xdr:sp macro="" textlink="">
      <xdr:nvSpPr>
        <xdr:cNvPr id="37824" name="직사각형 37823"/>
        <xdr:cNvSpPr/>
      </xdr:nvSpPr>
      <xdr:spPr>
        <a:xfrm>
          <a:off x="12357463" y="1784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116</xdr:row>
      <xdr:rowOff>76200</xdr:rowOff>
    </xdr:from>
    <xdr:to>
      <xdr:col>31</xdr:col>
      <xdr:colOff>41366</xdr:colOff>
      <xdr:row>116</xdr:row>
      <xdr:rowOff>76200</xdr:rowOff>
    </xdr:to>
    <xdr:cxnSp macro="">
      <xdr:nvCxnSpPr>
        <xdr:cNvPr id="37825" name="직선 화살표 연결선 37824"/>
        <xdr:cNvCxnSpPr/>
      </xdr:nvCxnSpPr>
      <xdr:spPr>
        <a:xfrm>
          <a:off x="12357463" y="17899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115</xdr:row>
      <xdr:rowOff>19050</xdr:rowOff>
    </xdr:from>
    <xdr:to>
      <xdr:col>31</xdr:col>
      <xdr:colOff>41366</xdr:colOff>
      <xdr:row>115</xdr:row>
      <xdr:rowOff>133350</xdr:rowOff>
    </xdr:to>
    <xdr:sp macro="" textlink="">
      <xdr:nvSpPr>
        <xdr:cNvPr id="37826" name="직사각형 37825"/>
        <xdr:cNvSpPr/>
      </xdr:nvSpPr>
      <xdr:spPr>
        <a:xfrm>
          <a:off x="12357463" y="17689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115</xdr:row>
      <xdr:rowOff>76200</xdr:rowOff>
    </xdr:from>
    <xdr:to>
      <xdr:col>31</xdr:col>
      <xdr:colOff>41366</xdr:colOff>
      <xdr:row>115</xdr:row>
      <xdr:rowOff>76200</xdr:rowOff>
    </xdr:to>
    <xdr:cxnSp macro="">
      <xdr:nvCxnSpPr>
        <xdr:cNvPr id="37827" name="직선 화살표 연결선 37826"/>
        <xdr:cNvCxnSpPr/>
      </xdr:nvCxnSpPr>
      <xdr:spPr>
        <a:xfrm>
          <a:off x="12357463" y="17746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114</xdr:row>
      <xdr:rowOff>19050</xdr:rowOff>
    </xdr:from>
    <xdr:to>
      <xdr:col>32</xdr:col>
      <xdr:colOff>124097</xdr:colOff>
      <xdr:row>114</xdr:row>
      <xdr:rowOff>133350</xdr:rowOff>
    </xdr:to>
    <xdr:sp macro="" textlink="">
      <xdr:nvSpPr>
        <xdr:cNvPr id="37828" name="직사각형 37827"/>
        <xdr:cNvSpPr/>
      </xdr:nvSpPr>
      <xdr:spPr>
        <a:xfrm>
          <a:off x="12357463" y="175374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114</xdr:row>
      <xdr:rowOff>76200</xdr:rowOff>
    </xdr:from>
    <xdr:to>
      <xdr:col>32</xdr:col>
      <xdr:colOff>124097</xdr:colOff>
      <xdr:row>114</xdr:row>
      <xdr:rowOff>76200</xdr:rowOff>
    </xdr:to>
    <xdr:cxnSp macro="">
      <xdr:nvCxnSpPr>
        <xdr:cNvPr id="37829" name="직선 화살표 연결선 37828"/>
        <xdr:cNvCxnSpPr/>
      </xdr:nvCxnSpPr>
      <xdr:spPr>
        <a:xfrm>
          <a:off x="12357463" y="175945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113</xdr:row>
      <xdr:rowOff>19050</xdr:rowOff>
    </xdr:from>
    <xdr:to>
      <xdr:col>39</xdr:col>
      <xdr:colOff>0</xdr:colOff>
      <xdr:row>113</xdr:row>
      <xdr:rowOff>133350</xdr:rowOff>
    </xdr:to>
    <xdr:sp macro="" textlink="">
      <xdr:nvSpPr>
        <xdr:cNvPr id="37830" name="직사각형 37829"/>
        <xdr:cNvSpPr/>
      </xdr:nvSpPr>
      <xdr:spPr>
        <a:xfrm>
          <a:off x="12357463" y="17385030"/>
          <a:ext cx="11375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113</xdr:row>
      <xdr:rowOff>76200</xdr:rowOff>
    </xdr:from>
    <xdr:to>
      <xdr:col>33</xdr:col>
      <xdr:colOff>130266</xdr:colOff>
      <xdr:row>113</xdr:row>
      <xdr:rowOff>76200</xdr:rowOff>
    </xdr:to>
    <xdr:cxnSp macro="">
      <xdr:nvCxnSpPr>
        <xdr:cNvPr id="37831" name="직선 화살표 연결선 37830"/>
        <xdr:cNvCxnSpPr/>
      </xdr:nvCxnSpPr>
      <xdr:spPr>
        <a:xfrm>
          <a:off x="12357463" y="17442180"/>
          <a:ext cx="3991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112</xdr:row>
      <xdr:rowOff>19050</xdr:rowOff>
    </xdr:from>
    <xdr:to>
      <xdr:col>37</xdr:col>
      <xdr:colOff>82732</xdr:colOff>
      <xdr:row>112</xdr:row>
      <xdr:rowOff>133350</xdr:rowOff>
    </xdr:to>
    <xdr:sp macro="" textlink="">
      <xdr:nvSpPr>
        <xdr:cNvPr id="37832" name="직사각형 37831"/>
        <xdr:cNvSpPr/>
      </xdr:nvSpPr>
      <xdr:spPr>
        <a:xfrm>
          <a:off x="13226143" y="172326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112</xdr:row>
      <xdr:rowOff>76200</xdr:rowOff>
    </xdr:from>
    <xdr:to>
      <xdr:col>37</xdr:col>
      <xdr:colOff>20683</xdr:colOff>
      <xdr:row>112</xdr:row>
      <xdr:rowOff>76200</xdr:rowOff>
    </xdr:to>
    <xdr:cxnSp macro="">
      <xdr:nvCxnSpPr>
        <xdr:cNvPr id="37833" name="직선 화살표 연결선 37832"/>
        <xdr:cNvCxnSpPr/>
      </xdr:nvCxnSpPr>
      <xdr:spPr>
        <a:xfrm>
          <a:off x="13226143" y="1728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111</xdr:row>
      <xdr:rowOff>19050</xdr:rowOff>
    </xdr:from>
    <xdr:to>
      <xdr:col>37</xdr:col>
      <xdr:colOff>1</xdr:colOff>
      <xdr:row>111</xdr:row>
      <xdr:rowOff>133350</xdr:rowOff>
    </xdr:to>
    <xdr:sp macro="" textlink="">
      <xdr:nvSpPr>
        <xdr:cNvPr id="37834" name="직사각형 37833"/>
        <xdr:cNvSpPr/>
      </xdr:nvSpPr>
      <xdr:spPr>
        <a:xfrm>
          <a:off x="13143412" y="17080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111</xdr:row>
      <xdr:rowOff>76200</xdr:rowOff>
    </xdr:from>
    <xdr:to>
      <xdr:col>36</xdr:col>
      <xdr:colOff>82732</xdr:colOff>
      <xdr:row>111</xdr:row>
      <xdr:rowOff>76200</xdr:rowOff>
    </xdr:to>
    <xdr:cxnSp macro="">
      <xdr:nvCxnSpPr>
        <xdr:cNvPr id="37835" name="직선 화살표 연결선 37834"/>
        <xdr:cNvCxnSpPr/>
      </xdr:nvCxnSpPr>
      <xdr:spPr>
        <a:xfrm>
          <a:off x="13143412" y="1713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110</xdr:row>
      <xdr:rowOff>19050</xdr:rowOff>
    </xdr:from>
    <xdr:to>
      <xdr:col>36</xdr:col>
      <xdr:colOff>82732</xdr:colOff>
      <xdr:row>110</xdr:row>
      <xdr:rowOff>133350</xdr:rowOff>
    </xdr:to>
    <xdr:sp macro="" textlink="">
      <xdr:nvSpPr>
        <xdr:cNvPr id="37836" name="직사각형 37835"/>
        <xdr:cNvSpPr/>
      </xdr:nvSpPr>
      <xdr:spPr>
        <a:xfrm>
          <a:off x="13081363" y="16927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110</xdr:row>
      <xdr:rowOff>76200</xdr:rowOff>
    </xdr:from>
    <xdr:to>
      <xdr:col>36</xdr:col>
      <xdr:colOff>20683</xdr:colOff>
      <xdr:row>110</xdr:row>
      <xdr:rowOff>76200</xdr:rowOff>
    </xdr:to>
    <xdr:cxnSp macro="">
      <xdr:nvCxnSpPr>
        <xdr:cNvPr id="37837" name="직선 화살표 연결선 37836"/>
        <xdr:cNvCxnSpPr/>
      </xdr:nvCxnSpPr>
      <xdr:spPr>
        <a:xfrm>
          <a:off x="13081363" y="1698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109</xdr:row>
      <xdr:rowOff>19050</xdr:rowOff>
    </xdr:from>
    <xdr:to>
      <xdr:col>37</xdr:col>
      <xdr:colOff>82732</xdr:colOff>
      <xdr:row>109</xdr:row>
      <xdr:rowOff>133350</xdr:rowOff>
    </xdr:to>
    <xdr:sp macro="" textlink="">
      <xdr:nvSpPr>
        <xdr:cNvPr id="37838" name="직사각형 37837"/>
        <xdr:cNvSpPr/>
      </xdr:nvSpPr>
      <xdr:spPr>
        <a:xfrm>
          <a:off x="13081363" y="16775430"/>
          <a:ext cx="206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109</xdr:row>
      <xdr:rowOff>76200</xdr:rowOff>
    </xdr:from>
    <xdr:to>
      <xdr:col>36</xdr:col>
      <xdr:colOff>20683</xdr:colOff>
      <xdr:row>109</xdr:row>
      <xdr:rowOff>76200</xdr:rowOff>
    </xdr:to>
    <xdr:cxnSp macro="">
      <xdr:nvCxnSpPr>
        <xdr:cNvPr id="37839" name="직선 화살표 연결선 37838"/>
        <xdr:cNvCxnSpPr/>
      </xdr:nvCxnSpPr>
      <xdr:spPr>
        <a:xfrm>
          <a:off x="13081363" y="1683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108</xdr:row>
      <xdr:rowOff>19050</xdr:rowOff>
    </xdr:from>
    <xdr:to>
      <xdr:col>35</xdr:col>
      <xdr:colOff>103414</xdr:colOff>
      <xdr:row>108</xdr:row>
      <xdr:rowOff>133350</xdr:rowOff>
    </xdr:to>
    <xdr:sp macro="" textlink="">
      <xdr:nvSpPr>
        <xdr:cNvPr id="37840" name="직사각형 37839"/>
        <xdr:cNvSpPr/>
      </xdr:nvSpPr>
      <xdr:spPr>
        <a:xfrm>
          <a:off x="12957266" y="1662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108</xdr:row>
      <xdr:rowOff>76200</xdr:rowOff>
    </xdr:from>
    <xdr:to>
      <xdr:col>35</xdr:col>
      <xdr:colOff>41366</xdr:colOff>
      <xdr:row>108</xdr:row>
      <xdr:rowOff>76200</xdr:rowOff>
    </xdr:to>
    <xdr:cxnSp macro="">
      <xdr:nvCxnSpPr>
        <xdr:cNvPr id="37841" name="직선 화살표 연결선 37840"/>
        <xdr:cNvCxnSpPr/>
      </xdr:nvCxnSpPr>
      <xdr:spPr>
        <a:xfrm>
          <a:off x="12957266" y="1668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107</xdr:row>
      <xdr:rowOff>19050</xdr:rowOff>
    </xdr:from>
    <xdr:to>
      <xdr:col>35</xdr:col>
      <xdr:colOff>41366</xdr:colOff>
      <xdr:row>107</xdr:row>
      <xdr:rowOff>133350</xdr:rowOff>
    </xdr:to>
    <xdr:sp macro="" textlink="">
      <xdr:nvSpPr>
        <xdr:cNvPr id="37842" name="직사각형 37841"/>
        <xdr:cNvSpPr/>
      </xdr:nvSpPr>
      <xdr:spPr>
        <a:xfrm>
          <a:off x="12915900" y="16470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107</xdr:row>
      <xdr:rowOff>76200</xdr:rowOff>
    </xdr:from>
    <xdr:to>
      <xdr:col>35</xdr:col>
      <xdr:colOff>0</xdr:colOff>
      <xdr:row>107</xdr:row>
      <xdr:rowOff>76200</xdr:rowOff>
    </xdr:to>
    <xdr:cxnSp macro="">
      <xdr:nvCxnSpPr>
        <xdr:cNvPr id="37843" name="직선 화살표 연결선 37842"/>
        <xdr:cNvCxnSpPr/>
      </xdr:nvCxnSpPr>
      <xdr:spPr>
        <a:xfrm>
          <a:off x="12915900" y="1652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103414</xdr:colOff>
      <xdr:row>106</xdr:row>
      <xdr:rowOff>19050</xdr:rowOff>
    </xdr:from>
    <xdr:to>
      <xdr:col>35</xdr:col>
      <xdr:colOff>0</xdr:colOff>
      <xdr:row>106</xdr:row>
      <xdr:rowOff>133350</xdr:rowOff>
    </xdr:to>
    <xdr:sp macro="" textlink="">
      <xdr:nvSpPr>
        <xdr:cNvPr id="37844" name="직사각형 37843"/>
        <xdr:cNvSpPr/>
      </xdr:nvSpPr>
      <xdr:spPr>
        <a:xfrm>
          <a:off x="12874534" y="16318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103414</xdr:colOff>
      <xdr:row>106</xdr:row>
      <xdr:rowOff>76200</xdr:rowOff>
    </xdr:from>
    <xdr:to>
      <xdr:col>34</xdr:col>
      <xdr:colOff>124098</xdr:colOff>
      <xdr:row>106</xdr:row>
      <xdr:rowOff>76200</xdr:rowOff>
    </xdr:to>
    <xdr:cxnSp macro="">
      <xdr:nvCxnSpPr>
        <xdr:cNvPr id="37845" name="직선 화살표 연결선 37844"/>
        <xdr:cNvCxnSpPr/>
      </xdr:nvCxnSpPr>
      <xdr:spPr>
        <a:xfrm>
          <a:off x="12874534" y="163753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105</xdr:row>
      <xdr:rowOff>19050</xdr:rowOff>
    </xdr:from>
    <xdr:to>
      <xdr:col>34</xdr:col>
      <xdr:colOff>103414</xdr:colOff>
      <xdr:row>105</xdr:row>
      <xdr:rowOff>133350</xdr:rowOff>
    </xdr:to>
    <xdr:sp macro="" textlink="">
      <xdr:nvSpPr>
        <xdr:cNvPr id="37846" name="직사각형 37845"/>
        <xdr:cNvSpPr/>
      </xdr:nvSpPr>
      <xdr:spPr>
        <a:xfrm>
          <a:off x="12812485" y="16165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105</xdr:row>
      <xdr:rowOff>76200</xdr:rowOff>
    </xdr:from>
    <xdr:to>
      <xdr:col>34</xdr:col>
      <xdr:colOff>72390</xdr:colOff>
      <xdr:row>105</xdr:row>
      <xdr:rowOff>76200</xdr:rowOff>
    </xdr:to>
    <xdr:cxnSp macro="">
      <xdr:nvCxnSpPr>
        <xdr:cNvPr id="37847" name="직선 화살표 연결선 37846"/>
        <xdr:cNvCxnSpPr/>
      </xdr:nvCxnSpPr>
      <xdr:spPr>
        <a:xfrm>
          <a:off x="12812485" y="16222980"/>
          <a:ext cx="310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104</xdr:row>
      <xdr:rowOff>19050</xdr:rowOff>
    </xdr:from>
    <xdr:to>
      <xdr:col>35</xdr:col>
      <xdr:colOff>103414</xdr:colOff>
      <xdr:row>104</xdr:row>
      <xdr:rowOff>133350</xdr:rowOff>
    </xdr:to>
    <xdr:sp macro="" textlink="">
      <xdr:nvSpPr>
        <xdr:cNvPr id="37848" name="직사각형 37847"/>
        <xdr:cNvSpPr/>
      </xdr:nvSpPr>
      <xdr:spPr>
        <a:xfrm>
          <a:off x="12812485" y="16013430"/>
          <a:ext cx="206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104</xdr:row>
      <xdr:rowOff>76200</xdr:rowOff>
    </xdr:from>
    <xdr:to>
      <xdr:col>34</xdr:col>
      <xdr:colOff>93072</xdr:colOff>
      <xdr:row>104</xdr:row>
      <xdr:rowOff>76200</xdr:rowOff>
    </xdr:to>
    <xdr:cxnSp macro="">
      <xdr:nvCxnSpPr>
        <xdr:cNvPr id="37849" name="직선 화살표 연결선 37848"/>
        <xdr:cNvCxnSpPr/>
      </xdr:nvCxnSpPr>
      <xdr:spPr>
        <a:xfrm>
          <a:off x="12812485" y="16070580"/>
          <a:ext cx="517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103</xdr:row>
      <xdr:rowOff>19050</xdr:rowOff>
    </xdr:from>
    <xdr:to>
      <xdr:col>34</xdr:col>
      <xdr:colOff>41365</xdr:colOff>
      <xdr:row>103</xdr:row>
      <xdr:rowOff>133350</xdr:rowOff>
    </xdr:to>
    <xdr:sp macro="" textlink="">
      <xdr:nvSpPr>
        <xdr:cNvPr id="37850" name="직사각형 37849"/>
        <xdr:cNvSpPr/>
      </xdr:nvSpPr>
      <xdr:spPr>
        <a:xfrm>
          <a:off x="12791803" y="15861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103</xdr:row>
      <xdr:rowOff>76200</xdr:rowOff>
    </xdr:from>
    <xdr:to>
      <xdr:col>34</xdr:col>
      <xdr:colOff>20683</xdr:colOff>
      <xdr:row>103</xdr:row>
      <xdr:rowOff>76200</xdr:rowOff>
    </xdr:to>
    <xdr:cxnSp macro="">
      <xdr:nvCxnSpPr>
        <xdr:cNvPr id="37851" name="직선 화살표 연결선 37850"/>
        <xdr:cNvCxnSpPr/>
      </xdr:nvCxnSpPr>
      <xdr:spPr>
        <a:xfrm>
          <a:off x="12791803" y="1591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102</xdr:row>
      <xdr:rowOff>19050</xdr:rowOff>
    </xdr:from>
    <xdr:to>
      <xdr:col>34</xdr:col>
      <xdr:colOff>20683</xdr:colOff>
      <xdr:row>102</xdr:row>
      <xdr:rowOff>133350</xdr:rowOff>
    </xdr:to>
    <xdr:sp macro="" textlink="">
      <xdr:nvSpPr>
        <xdr:cNvPr id="37852" name="직사각형 37851"/>
        <xdr:cNvSpPr/>
      </xdr:nvSpPr>
      <xdr:spPr>
        <a:xfrm>
          <a:off x="12771120" y="15708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102</xdr:row>
      <xdr:rowOff>76200</xdr:rowOff>
    </xdr:from>
    <xdr:to>
      <xdr:col>34</xdr:col>
      <xdr:colOff>0</xdr:colOff>
      <xdr:row>102</xdr:row>
      <xdr:rowOff>76200</xdr:rowOff>
    </xdr:to>
    <xdr:cxnSp macro="">
      <xdr:nvCxnSpPr>
        <xdr:cNvPr id="37853" name="직선 화살표 연결선 37852"/>
        <xdr:cNvCxnSpPr/>
      </xdr:nvCxnSpPr>
      <xdr:spPr>
        <a:xfrm>
          <a:off x="12771120" y="1576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101</xdr:row>
      <xdr:rowOff>19050</xdr:rowOff>
    </xdr:from>
    <xdr:to>
      <xdr:col>34</xdr:col>
      <xdr:colOff>41365</xdr:colOff>
      <xdr:row>101</xdr:row>
      <xdr:rowOff>133350</xdr:rowOff>
    </xdr:to>
    <xdr:sp macro="" textlink="">
      <xdr:nvSpPr>
        <xdr:cNvPr id="37854" name="직사각형 37853"/>
        <xdr:cNvSpPr/>
      </xdr:nvSpPr>
      <xdr:spPr>
        <a:xfrm>
          <a:off x="12771120" y="155562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101</xdr:row>
      <xdr:rowOff>76200</xdr:rowOff>
    </xdr:from>
    <xdr:to>
      <xdr:col>34</xdr:col>
      <xdr:colOff>0</xdr:colOff>
      <xdr:row>101</xdr:row>
      <xdr:rowOff>76200</xdr:rowOff>
    </xdr:to>
    <xdr:cxnSp macro="">
      <xdr:nvCxnSpPr>
        <xdr:cNvPr id="37855" name="직선 화살표 연결선 37854"/>
        <xdr:cNvCxnSpPr/>
      </xdr:nvCxnSpPr>
      <xdr:spPr>
        <a:xfrm>
          <a:off x="12771120" y="1561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100</xdr:row>
      <xdr:rowOff>19050</xdr:rowOff>
    </xdr:from>
    <xdr:to>
      <xdr:col>34</xdr:col>
      <xdr:colOff>82731</xdr:colOff>
      <xdr:row>100</xdr:row>
      <xdr:rowOff>133350</xdr:rowOff>
    </xdr:to>
    <xdr:sp macro="" textlink="">
      <xdr:nvSpPr>
        <xdr:cNvPr id="37856" name="직사각형 37855"/>
        <xdr:cNvSpPr/>
      </xdr:nvSpPr>
      <xdr:spPr>
        <a:xfrm>
          <a:off x="12812485" y="15403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100</xdr:row>
      <xdr:rowOff>76200</xdr:rowOff>
    </xdr:from>
    <xdr:to>
      <xdr:col>34</xdr:col>
      <xdr:colOff>41365</xdr:colOff>
      <xdr:row>100</xdr:row>
      <xdr:rowOff>76200</xdr:rowOff>
    </xdr:to>
    <xdr:cxnSp macro="">
      <xdr:nvCxnSpPr>
        <xdr:cNvPr id="37857" name="직선 화살표 연결선 37856"/>
        <xdr:cNvCxnSpPr/>
      </xdr:nvCxnSpPr>
      <xdr:spPr>
        <a:xfrm>
          <a:off x="12812485" y="1546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99</xdr:row>
      <xdr:rowOff>19050</xdr:rowOff>
    </xdr:from>
    <xdr:to>
      <xdr:col>34</xdr:col>
      <xdr:colOff>62049</xdr:colOff>
      <xdr:row>99</xdr:row>
      <xdr:rowOff>133350</xdr:rowOff>
    </xdr:to>
    <xdr:sp macro="" textlink="">
      <xdr:nvSpPr>
        <xdr:cNvPr id="37858" name="직사각형 37857"/>
        <xdr:cNvSpPr/>
      </xdr:nvSpPr>
      <xdr:spPr>
        <a:xfrm>
          <a:off x="12750437" y="152514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99</xdr:row>
      <xdr:rowOff>76200</xdr:rowOff>
    </xdr:from>
    <xdr:to>
      <xdr:col>33</xdr:col>
      <xdr:colOff>124097</xdr:colOff>
      <xdr:row>99</xdr:row>
      <xdr:rowOff>76200</xdr:rowOff>
    </xdr:to>
    <xdr:cxnSp macro="">
      <xdr:nvCxnSpPr>
        <xdr:cNvPr id="37859" name="직선 화살표 연결선 37858"/>
        <xdr:cNvCxnSpPr/>
      </xdr:nvCxnSpPr>
      <xdr:spPr>
        <a:xfrm>
          <a:off x="12750437" y="1530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98</xdr:row>
      <xdr:rowOff>19050</xdr:rowOff>
    </xdr:from>
    <xdr:to>
      <xdr:col>33</xdr:col>
      <xdr:colOff>124097</xdr:colOff>
      <xdr:row>98</xdr:row>
      <xdr:rowOff>133350</xdr:rowOff>
    </xdr:to>
    <xdr:sp macro="" textlink="">
      <xdr:nvSpPr>
        <xdr:cNvPr id="37860" name="직사각형 37859"/>
        <xdr:cNvSpPr/>
      </xdr:nvSpPr>
      <xdr:spPr>
        <a:xfrm>
          <a:off x="12667706" y="15099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98</xdr:row>
      <xdr:rowOff>76200</xdr:rowOff>
    </xdr:from>
    <xdr:to>
      <xdr:col>33</xdr:col>
      <xdr:colOff>82732</xdr:colOff>
      <xdr:row>98</xdr:row>
      <xdr:rowOff>76200</xdr:rowOff>
    </xdr:to>
    <xdr:cxnSp macro="">
      <xdr:nvCxnSpPr>
        <xdr:cNvPr id="37861" name="직선 화살표 연결선 37860"/>
        <xdr:cNvCxnSpPr/>
      </xdr:nvCxnSpPr>
      <xdr:spPr>
        <a:xfrm>
          <a:off x="12667706" y="15156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97</xdr:row>
      <xdr:rowOff>19050</xdr:rowOff>
    </xdr:from>
    <xdr:to>
      <xdr:col>34</xdr:col>
      <xdr:colOff>82731</xdr:colOff>
      <xdr:row>97</xdr:row>
      <xdr:rowOff>133350</xdr:rowOff>
    </xdr:to>
    <xdr:sp macro="" textlink="">
      <xdr:nvSpPr>
        <xdr:cNvPr id="37862" name="직사각형 37861"/>
        <xdr:cNvSpPr/>
      </xdr:nvSpPr>
      <xdr:spPr>
        <a:xfrm>
          <a:off x="12667706" y="14946630"/>
          <a:ext cx="186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97</xdr:row>
      <xdr:rowOff>76200</xdr:rowOff>
    </xdr:from>
    <xdr:to>
      <xdr:col>33</xdr:col>
      <xdr:colOff>78595</xdr:colOff>
      <xdr:row>97</xdr:row>
      <xdr:rowOff>76200</xdr:rowOff>
    </xdr:to>
    <xdr:cxnSp macro="">
      <xdr:nvCxnSpPr>
        <xdr:cNvPr id="37863" name="직선 화살표 연결선 37862"/>
        <xdr:cNvCxnSpPr/>
      </xdr:nvCxnSpPr>
      <xdr:spPr>
        <a:xfrm>
          <a:off x="12667706" y="15003780"/>
          <a:ext cx="372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96</xdr:row>
      <xdr:rowOff>19050</xdr:rowOff>
    </xdr:from>
    <xdr:to>
      <xdr:col>33</xdr:col>
      <xdr:colOff>20683</xdr:colOff>
      <xdr:row>96</xdr:row>
      <xdr:rowOff>133350</xdr:rowOff>
    </xdr:to>
    <xdr:sp macro="" textlink="">
      <xdr:nvSpPr>
        <xdr:cNvPr id="37864" name="직사각형 37863"/>
        <xdr:cNvSpPr/>
      </xdr:nvSpPr>
      <xdr:spPr>
        <a:xfrm>
          <a:off x="12564291" y="14794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96</xdr:row>
      <xdr:rowOff>76200</xdr:rowOff>
    </xdr:from>
    <xdr:to>
      <xdr:col>33</xdr:col>
      <xdr:colOff>20683</xdr:colOff>
      <xdr:row>96</xdr:row>
      <xdr:rowOff>76200</xdr:rowOff>
    </xdr:to>
    <xdr:cxnSp macro="">
      <xdr:nvCxnSpPr>
        <xdr:cNvPr id="37865" name="직선 화살표 연결선 37864"/>
        <xdr:cNvCxnSpPr/>
      </xdr:nvCxnSpPr>
      <xdr:spPr>
        <a:xfrm>
          <a:off x="12564291" y="148513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95</xdr:row>
      <xdr:rowOff>19050</xdr:rowOff>
    </xdr:from>
    <xdr:to>
      <xdr:col>33</xdr:col>
      <xdr:colOff>20683</xdr:colOff>
      <xdr:row>95</xdr:row>
      <xdr:rowOff>133350</xdr:rowOff>
    </xdr:to>
    <xdr:sp macro="" textlink="">
      <xdr:nvSpPr>
        <xdr:cNvPr id="37866" name="직사각형 37865"/>
        <xdr:cNvSpPr/>
      </xdr:nvSpPr>
      <xdr:spPr>
        <a:xfrm>
          <a:off x="12564291" y="146418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95</xdr:row>
      <xdr:rowOff>76200</xdr:rowOff>
    </xdr:from>
    <xdr:to>
      <xdr:col>33</xdr:col>
      <xdr:colOff>20683</xdr:colOff>
      <xdr:row>95</xdr:row>
      <xdr:rowOff>76200</xdr:rowOff>
    </xdr:to>
    <xdr:cxnSp macro="">
      <xdr:nvCxnSpPr>
        <xdr:cNvPr id="37867" name="직선 화살표 연결선 37866"/>
        <xdr:cNvCxnSpPr/>
      </xdr:nvCxnSpPr>
      <xdr:spPr>
        <a:xfrm>
          <a:off x="12564291" y="146989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94</xdr:row>
      <xdr:rowOff>19050</xdr:rowOff>
    </xdr:from>
    <xdr:to>
      <xdr:col>33</xdr:col>
      <xdr:colOff>20683</xdr:colOff>
      <xdr:row>94</xdr:row>
      <xdr:rowOff>133350</xdr:rowOff>
    </xdr:to>
    <xdr:sp macro="" textlink="">
      <xdr:nvSpPr>
        <xdr:cNvPr id="37868" name="직사각형 37867"/>
        <xdr:cNvSpPr/>
      </xdr:nvSpPr>
      <xdr:spPr>
        <a:xfrm>
          <a:off x="12564291" y="14489430"/>
          <a:ext cx="82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94</xdr:row>
      <xdr:rowOff>76200</xdr:rowOff>
    </xdr:from>
    <xdr:to>
      <xdr:col>33</xdr:col>
      <xdr:colOff>20683</xdr:colOff>
      <xdr:row>94</xdr:row>
      <xdr:rowOff>76200</xdr:rowOff>
    </xdr:to>
    <xdr:cxnSp macro="">
      <xdr:nvCxnSpPr>
        <xdr:cNvPr id="37869" name="직선 화살표 연결선 37868"/>
        <xdr:cNvCxnSpPr/>
      </xdr:nvCxnSpPr>
      <xdr:spPr>
        <a:xfrm>
          <a:off x="12564291" y="145465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93</xdr:row>
      <xdr:rowOff>19050</xdr:rowOff>
    </xdr:from>
    <xdr:to>
      <xdr:col>37</xdr:col>
      <xdr:colOff>82732</xdr:colOff>
      <xdr:row>93</xdr:row>
      <xdr:rowOff>133350</xdr:rowOff>
    </xdr:to>
    <xdr:sp macro="" textlink="">
      <xdr:nvSpPr>
        <xdr:cNvPr id="37870" name="직사각형 37869"/>
        <xdr:cNvSpPr/>
      </xdr:nvSpPr>
      <xdr:spPr>
        <a:xfrm>
          <a:off x="12564291" y="14337030"/>
          <a:ext cx="7239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93</xdr:row>
      <xdr:rowOff>76200</xdr:rowOff>
    </xdr:from>
    <xdr:to>
      <xdr:col>34</xdr:col>
      <xdr:colOff>25190</xdr:colOff>
      <xdr:row>93</xdr:row>
      <xdr:rowOff>76200</xdr:rowOff>
    </xdr:to>
    <xdr:cxnSp macro="">
      <xdr:nvCxnSpPr>
        <xdr:cNvPr id="37871" name="직선 화살표 연결선 37870"/>
        <xdr:cNvCxnSpPr/>
      </xdr:nvCxnSpPr>
      <xdr:spPr>
        <a:xfrm>
          <a:off x="12564291" y="14394180"/>
          <a:ext cx="2320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82732</xdr:colOff>
      <xdr:row>91</xdr:row>
      <xdr:rowOff>19050</xdr:rowOff>
    </xdr:from>
    <xdr:to>
      <xdr:col>37</xdr:col>
      <xdr:colOff>103414</xdr:colOff>
      <xdr:row>91</xdr:row>
      <xdr:rowOff>133350</xdr:rowOff>
    </xdr:to>
    <xdr:sp macro="" textlink="">
      <xdr:nvSpPr>
        <xdr:cNvPr id="37872" name="직사각형 37871"/>
        <xdr:cNvSpPr/>
      </xdr:nvSpPr>
      <xdr:spPr>
        <a:xfrm>
          <a:off x="13288192" y="14032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82732</xdr:colOff>
      <xdr:row>91</xdr:row>
      <xdr:rowOff>76200</xdr:rowOff>
    </xdr:from>
    <xdr:to>
      <xdr:col>37</xdr:col>
      <xdr:colOff>103414</xdr:colOff>
      <xdr:row>91</xdr:row>
      <xdr:rowOff>76200</xdr:rowOff>
    </xdr:to>
    <xdr:cxnSp macro="">
      <xdr:nvCxnSpPr>
        <xdr:cNvPr id="37873" name="직선 화살표 연결선 37872"/>
        <xdr:cNvCxnSpPr/>
      </xdr:nvCxnSpPr>
      <xdr:spPr>
        <a:xfrm>
          <a:off x="13288192" y="14089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xdr:colOff>
      <xdr:row>90</xdr:row>
      <xdr:rowOff>19050</xdr:rowOff>
    </xdr:from>
    <xdr:to>
      <xdr:col>37</xdr:col>
      <xdr:colOff>20683</xdr:colOff>
      <xdr:row>90</xdr:row>
      <xdr:rowOff>133350</xdr:rowOff>
    </xdr:to>
    <xdr:sp macro="" textlink="">
      <xdr:nvSpPr>
        <xdr:cNvPr id="37874" name="직사각형 37873"/>
        <xdr:cNvSpPr/>
      </xdr:nvSpPr>
      <xdr:spPr>
        <a:xfrm>
          <a:off x="13205461" y="13879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xdr:colOff>
      <xdr:row>90</xdr:row>
      <xdr:rowOff>76200</xdr:rowOff>
    </xdr:from>
    <xdr:to>
      <xdr:col>37</xdr:col>
      <xdr:colOff>1</xdr:colOff>
      <xdr:row>90</xdr:row>
      <xdr:rowOff>76200</xdr:rowOff>
    </xdr:to>
    <xdr:cxnSp macro="">
      <xdr:nvCxnSpPr>
        <xdr:cNvPr id="37875" name="직선 화살표 연결선 37874"/>
        <xdr:cNvCxnSpPr/>
      </xdr:nvCxnSpPr>
      <xdr:spPr>
        <a:xfrm>
          <a:off x="13205461" y="1393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124097</xdr:colOff>
      <xdr:row>89</xdr:row>
      <xdr:rowOff>19050</xdr:rowOff>
    </xdr:from>
    <xdr:to>
      <xdr:col>37</xdr:col>
      <xdr:colOff>20683</xdr:colOff>
      <xdr:row>89</xdr:row>
      <xdr:rowOff>133350</xdr:rowOff>
    </xdr:to>
    <xdr:sp macro="" textlink="">
      <xdr:nvSpPr>
        <xdr:cNvPr id="37876" name="직사각형 37875"/>
        <xdr:cNvSpPr/>
      </xdr:nvSpPr>
      <xdr:spPr>
        <a:xfrm>
          <a:off x="13184777" y="13727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124097</xdr:colOff>
      <xdr:row>89</xdr:row>
      <xdr:rowOff>76200</xdr:rowOff>
    </xdr:from>
    <xdr:to>
      <xdr:col>36</xdr:col>
      <xdr:colOff>124097</xdr:colOff>
      <xdr:row>89</xdr:row>
      <xdr:rowOff>76200</xdr:rowOff>
    </xdr:to>
    <xdr:cxnSp macro="">
      <xdr:nvCxnSpPr>
        <xdr:cNvPr id="37877" name="직선 화살표 연결선 37876"/>
        <xdr:cNvCxnSpPr/>
      </xdr:nvCxnSpPr>
      <xdr:spPr>
        <a:xfrm>
          <a:off x="13184777" y="1378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88</xdr:row>
      <xdr:rowOff>19050</xdr:rowOff>
    </xdr:from>
    <xdr:to>
      <xdr:col>37</xdr:col>
      <xdr:colOff>82732</xdr:colOff>
      <xdr:row>88</xdr:row>
      <xdr:rowOff>133350</xdr:rowOff>
    </xdr:to>
    <xdr:sp macro="" textlink="">
      <xdr:nvSpPr>
        <xdr:cNvPr id="37878" name="직사각형 37877"/>
        <xdr:cNvSpPr/>
      </xdr:nvSpPr>
      <xdr:spPr>
        <a:xfrm>
          <a:off x="13226143" y="135750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88</xdr:row>
      <xdr:rowOff>76200</xdr:rowOff>
    </xdr:from>
    <xdr:to>
      <xdr:col>37</xdr:col>
      <xdr:colOff>20683</xdr:colOff>
      <xdr:row>88</xdr:row>
      <xdr:rowOff>76200</xdr:rowOff>
    </xdr:to>
    <xdr:cxnSp macro="">
      <xdr:nvCxnSpPr>
        <xdr:cNvPr id="37879" name="직선 화살표 연결선 37878"/>
        <xdr:cNvCxnSpPr/>
      </xdr:nvCxnSpPr>
      <xdr:spPr>
        <a:xfrm>
          <a:off x="13226143" y="1363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87</xdr:row>
      <xdr:rowOff>19050</xdr:rowOff>
    </xdr:from>
    <xdr:to>
      <xdr:col>36</xdr:col>
      <xdr:colOff>124097</xdr:colOff>
      <xdr:row>87</xdr:row>
      <xdr:rowOff>133350</xdr:rowOff>
    </xdr:to>
    <xdr:sp macro="" textlink="">
      <xdr:nvSpPr>
        <xdr:cNvPr id="37880" name="직사각형 37879"/>
        <xdr:cNvSpPr/>
      </xdr:nvSpPr>
      <xdr:spPr>
        <a:xfrm>
          <a:off x="13143412" y="13422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87</xdr:row>
      <xdr:rowOff>76200</xdr:rowOff>
    </xdr:from>
    <xdr:to>
      <xdr:col>36</xdr:col>
      <xdr:colOff>82732</xdr:colOff>
      <xdr:row>87</xdr:row>
      <xdr:rowOff>76200</xdr:rowOff>
    </xdr:to>
    <xdr:cxnSp macro="">
      <xdr:nvCxnSpPr>
        <xdr:cNvPr id="37881" name="직선 화살표 연결선 37880"/>
        <xdr:cNvCxnSpPr/>
      </xdr:nvCxnSpPr>
      <xdr:spPr>
        <a:xfrm>
          <a:off x="13143412" y="1347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86</xdr:row>
      <xdr:rowOff>19050</xdr:rowOff>
    </xdr:from>
    <xdr:to>
      <xdr:col>36</xdr:col>
      <xdr:colOff>82732</xdr:colOff>
      <xdr:row>86</xdr:row>
      <xdr:rowOff>133350</xdr:rowOff>
    </xdr:to>
    <xdr:sp macro="" textlink="">
      <xdr:nvSpPr>
        <xdr:cNvPr id="37882" name="직사각형 37881"/>
        <xdr:cNvSpPr/>
      </xdr:nvSpPr>
      <xdr:spPr>
        <a:xfrm>
          <a:off x="13060680" y="132702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86</xdr:row>
      <xdr:rowOff>76200</xdr:rowOff>
    </xdr:from>
    <xdr:to>
      <xdr:col>36</xdr:col>
      <xdr:colOff>0</xdr:colOff>
      <xdr:row>86</xdr:row>
      <xdr:rowOff>76200</xdr:rowOff>
    </xdr:to>
    <xdr:cxnSp macro="">
      <xdr:nvCxnSpPr>
        <xdr:cNvPr id="37883" name="직선 화살표 연결선 37882"/>
        <xdr:cNvCxnSpPr/>
      </xdr:nvCxnSpPr>
      <xdr:spPr>
        <a:xfrm>
          <a:off x="13060680" y="1332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124098</xdr:colOff>
      <xdr:row>85</xdr:row>
      <xdr:rowOff>19050</xdr:rowOff>
    </xdr:from>
    <xdr:to>
      <xdr:col>36</xdr:col>
      <xdr:colOff>0</xdr:colOff>
      <xdr:row>85</xdr:row>
      <xdr:rowOff>133350</xdr:rowOff>
    </xdr:to>
    <xdr:sp macro="" textlink="">
      <xdr:nvSpPr>
        <xdr:cNvPr id="37884" name="직사각형 37883"/>
        <xdr:cNvSpPr/>
      </xdr:nvSpPr>
      <xdr:spPr>
        <a:xfrm>
          <a:off x="13039998" y="13117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124098</xdr:colOff>
      <xdr:row>85</xdr:row>
      <xdr:rowOff>76200</xdr:rowOff>
    </xdr:from>
    <xdr:to>
      <xdr:col>36</xdr:col>
      <xdr:colOff>0</xdr:colOff>
      <xdr:row>85</xdr:row>
      <xdr:rowOff>76200</xdr:rowOff>
    </xdr:to>
    <xdr:cxnSp macro="">
      <xdr:nvCxnSpPr>
        <xdr:cNvPr id="37885" name="직선 화살표 연결선 37884"/>
        <xdr:cNvCxnSpPr/>
      </xdr:nvCxnSpPr>
      <xdr:spPr>
        <a:xfrm>
          <a:off x="13039998" y="13174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83</xdr:row>
      <xdr:rowOff>19050</xdr:rowOff>
    </xdr:from>
    <xdr:to>
      <xdr:col>35</xdr:col>
      <xdr:colOff>124098</xdr:colOff>
      <xdr:row>83</xdr:row>
      <xdr:rowOff>133350</xdr:rowOff>
    </xdr:to>
    <xdr:sp macro="" textlink="">
      <xdr:nvSpPr>
        <xdr:cNvPr id="37886" name="직사각형 37885"/>
        <xdr:cNvSpPr/>
      </xdr:nvSpPr>
      <xdr:spPr>
        <a:xfrm>
          <a:off x="12977949" y="128130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62049</xdr:colOff>
      <xdr:row>83</xdr:row>
      <xdr:rowOff>76200</xdr:rowOff>
    </xdr:from>
    <xdr:to>
      <xdr:col>35</xdr:col>
      <xdr:colOff>62049</xdr:colOff>
      <xdr:row>83</xdr:row>
      <xdr:rowOff>76200</xdr:rowOff>
    </xdr:to>
    <xdr:cxnSp macro="">
      <xdr:nvCxnSpPr>
        <xdr:cNvPr id="37887" name="직선 화살표 연결선 37886"/>
        <xdr:cNvCxnSpPr/>
      </xdr:nvCxnSpPr>
      <xdr:spPr>
        <a:xfrm>
          <a:off x="12977949"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82</xdr:row>
      <xdr:rowOff>19050</xdr:rowOff>
    </xdr:from>
    <xdr:to>
      <xdr:col>35</xdr:col>
      <xdr:colOff>82731</xdr:colOff>
      <xdr:row>82</xdr:row>
      <xdr:rowOff>133350</xdr:rowOff>
    </xdr:to>
    <xdr:sp macro="" textlink="">
      <xdr:nvSpPr>
        <xdr:cNvPr id="37888" name="직사각형 37887"/>
        <xdr:cNvSpPr/>
      </xdr:nvSpPr>
      <xdr:spPr>
        <a:xfrm>
          <a:off x="12977949" y="12660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62049</xdr:colOff>
      <xdr:row>82</xdr:row>
      <xdr:rowOff>76200</xdr:rowOff>
    </xdr:from>
    <xdr:to>
      <xdr:col>35</xdr:col>
      <xdr:colOff>62049</xdr:colOff>
      <xdr:row>82</xdr:row>
      <xdr:rowOff>76200</xdr:rowOff>
    </xdr:to>
    <xdr:cxnSp macro="">
      <xdr:nvCxnSpPr>
        <xdr:cNvPr id="37889" name="직선 화살표 연결선 37888"/>
        <xdr:cNvCxnSpPr/>
      </xdr:nvCxnSpPr>
      <xdr:spPr>
        <a:xfrm>
          <a:off x="12977949"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81</xdr:row>
      <xdr:rowOff>19050</xdr:rowOff>
    </xdr:from>
    <xdr:to>
      <xdr:col>35</xdr:col>
      <xdr:colOff>62049</xdr:colOff>
      <xdr:row>81</xdr:row>
      <xdr:rowOff>133350</xdr:rowOff>
    </xdr:to>
    <xdr:sp macro="" textlink="">
      <xdr:nvSpPr>
        <xdr:cNvPr id="37890" name="직사각형 37889"/>
        <xdr:cNvSpPr/>
      </xdr:nvSpPr>
      <xdr:spPr>
        <a:xfrm>
          <a:off x="12936583" y="12508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81</xdr:row>
      <xdr:rowOff>76200</xdr:rowOff>
    </xdr:from>
    <xdr:to>
      <xdr:col>35</xdr:col>
      <xdr:colOff>20683</xdr:colOff>
      <xdr:row>81</xdr:row>
      <xdr:rowOff>76200</xdr:rowOff>
    </xdr:to>
    <xdr:cxnSp macro="">
      <xdr:nvCxnSpPr>
        <xdr:cNvPr id="37891" name="직선 화살표 연결선 37890"/>
        <xdr:cNvCxnSpPr/>
      </xdr:nvCxnSpPr>
      <xdr:spPr>
        <a:xfrm>
          <a:off x="12936583"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80</xdr:row>
      <xdr:rowOff>19050</xdr:rowOff>
    </xdr:from>
    <xdr:to>
      <xdr:col>35</xdr:col>
      <xdr:colOff>41366</xdr:colOff>
      <xdr:row>80</xdr:row>
      <xdr:rowOff>133350</xdr:rowOff>
    </xdr:to>
    <xdr:sp macro="" textlink="">
      <xdr:nvSpPr>
        <xdr:cNvPr id="37892" name="직사각형 37891"/>
        <xdr:cNvSpPr/>
      </xdr:nvSpPr>
      <xdr:spPr>
        <a:xfrm>
          <a:off x="12915900" y="12355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80</xdr:row>
      <xdr:rowOff>76200</xdr:rowOff>
    </xdr:from>
    <xdr:to>
      <xdr:col>35</xdr:col>
      <xdr:colOff>0</xdr:colOff>
      <xdr:row>80</xdr:row>
      <xdr:rowOff>76200</xdr:rowOff>
    </xdr:to>
    <xdr:cxnSp macro="">
      <xdr:nvCxnSpPr>
        <xdr:cNvPr id="37893" name="직선 화살표 연결선 37892"/>
        <xdr:cNvCxnSpPr/>
      </xdr:nvCxnSpPr>
      <xdr:spPr>
        <a:xfrm>
          <a:off x="12915900" y="1241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79</xdr:row>
      <xdr:rowOff>19050</xdr:rowOff>
    </xdr:from>
    <xdr:to>
      <xdr:col>35</xdr:col>
      <xdr:colOff>41366</xdr:colOff>
      <xdr:row>79</xdr:row>
      <xdr:rowOff>133350</xdr:rowOff>
    </xdr:to>
    <xdr:sp macro="" textlink="">
      <xdr:nvSpPr>
        <xdr:cNvPr id="37894" name="직사각형 37893"/>
        <xdr:cNvSpPr/>
      </xdr:nvSpPr>
      <xdr:spPr>
        <a:xfrm>
          <a:off x="12895217" y="12203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79</xdr:row>
      <xdr:rowOff>76200</xdr:rowOff>
    </xdr:from>
    <xdr:to>
      <xdr:col>34</xdr:col>
      <xdr:colOff>124097</xdr:colOff>
      <xdr:row>79</xdr:row>
      <xdr:rowOff>76200</xdr:rowOff>
    </xdr:to>
    <xdr:cxnSp macro="">
      <xdr:nvCxnSpPr>
        <xdr:cNvPr id="37895" name="직선 화살표 연결선 37894"/>
        <xdr:cNvCxnSpPr/>
      </xdr:nvCxnSpPr>
      <xdr:spPr>
        <a:xfrm>
          <a:off x="12895217"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78</xdr:row>
      <xdr:rowOff>19050</xdr:rowOff>
    </xdr:from>
    <xdr:to>
      <xdr:col>34</xdr:col>
      <xdr:colOff>124097</xdr:colOff>
      <xdr:row>78</xdr:row>
      <xdr:rowOff>133350</xdr:rowOff>
    </xdr:to>
    <xdr:sp macro="" textlink="">
      <xdr:nvSpPr>
        <xdr:cNvPr id="37896" name="직사각형 37895"/>
        <xdr:cNvSpPr/>
      </xdr:nvSpPr>
      <xdr:spPr>
        <a:xfrm>
          <a:off x="12833169" y="12051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78</xdr:row>
      <xdr:rowOff>76200</xdr:rowOff>
    </xdr:from>
    <xdr:to>
      <xdr:col>34</xdr:col>
      <xdr:colOff>62049</xdr:colOff>
      <xdr:row>78</xdr:row>
      <xdr:rowOff>76200</xdr:rowOff>
    </xdr:to>
    <xdr:cxnSp macro="">
      <xdr:nvCxnSpPr>
        <xdr:cNvPr id="37897" name="직선 화살표 연결선 37896"/>
        <xdr:cNvCxnSpPr/>
      </xdr:nvCxnSpPr>
      <xdr:spPr>
        <a:xfrm>
          <a:off x="12833169" y="1210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77</xdr:row>
      <xdr:rowOff>19050</xdr:rowOff>
    </xdr:from>
    <xdr:to>
      <xdr:col>34</xdr:col>
      <xdr:colOff>62049</xdr:colOff>
      <xdr:row>77</xdr:row>
      <xdr:rowOff>133350</xdr:rowOff>
    </xdr:to>
    <xdr:sp macro="" textlink="">
      <xdr:nvSpPr>
        <xdr:cNvPr id="37898" name="직사각형 37897"/>
        <xdr:cNvSpPr/>
      </xdr:nvSpPr>
      <xdr:spPr>
        <a:xfrm>
          <a:off x="12812485" y="11898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77</xdr:row>
      <xdr:rowOff>76200</xdr:rowOff>
    </xdr:from>
    <xdr:to>
      <xdr:col>34</xdr:col>
      <xdr:colOff>62049</xdr:colOff>
      <xdr:row>77</xdr:row>
      <xdr:rowOff>76200</xdr:rowOff>
    </xdr:to>
    <xdr:cxnSp macro="">
      <xdr:nvCxnSpPr>
        <xdr:cNvPr id="37899" name="직선 화살표 연결선 37898"/>
        <xdr:cNvCxnSpPr/>
      </xdr:nvCxnSpPr>
      <xdr:spPr>
        <a:xfrm>
          <a:off x="12812485" y="119557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76</xdr:row>
      <xdr:rowOff>19050</xdr:rowOff>
    </xdr:from>
    <xdr:to>
      <xdr:col>34</xdr:col>
      <xdr:colOff>62049</xdr:colOff>
      <xdr:row>76</xdr:row>
      <xdr:rowOff>133350</xdr:rowOff>
    </xdr:to>
    <xdr:sp macro="" textlink="">
      <xdr:nvSpPr>
        <xdr:cNvPr id="37900" name="직사각형 37899"/>
        <xdr:cNvSpPr/>
      </xdr:nvSpPr>
      <xdr:spPr>
        <a:xfrm>
          <a:off x="12812485" y="11746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76</xdr:row>
      <xdr:rowOff>76200</xdr:rowOff>
    </xdr:from>
    <xdr:to>
      <xdr:col>34</xdr:col>
      <xdr:colOff>41365</xdr:colOff>
      <xdr:row>76</xdr:row>
      <xdr:rowOff>76200</xdr:rowOff>
    </xdr:to>
    <xdr:cxnSp macro="">
      <xdr:nvCxnSpPr>
        <xdr:cNvPr id="37901" name="직선 화살표 연결선 37900"/>
        <xdr:cNvCxnSpPr/>
      </xdr:nvCxnSpPr>
      <xdr:spPr>
        <a:xfrm>
          <a:off x="12812485"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75</xdr:row>
      <xdr:rowOff>19050</xdr:rowOff>
    </xdr:from>
    <xdr:to>
      <xdr:col>34</xdr:col>
      <xdr:colOff>41365</xdr:colOff>
      <xdr:row>75</xdr:row>
      <xdr:rowOff>133350</xdr:rowOff>
    </xdr:to>
    <xdr:sp macro="" textlink="">
      <xdr:nvSpPr>
        <xdr:cNvPr id="37902" name="직사각형 37901"/>
        <xdr:cNvSpPr/>
      </xdr:nvSpPr>
      <xdr:spPr>
        <a:xfrm>
          <a:off x="12791803" y="11593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75</xdr:row>
      <xdr:rowOff>76200</xdr:rowOff>
    </xdr:from>
    <xdr:to>
      <xdr:col>34</xdr:col>
      <xdr:colOff>41365</xdr:colOff>
      <xdr:row>75</xdr:row>
      <xdr:rowOff>76200</xdr:rowOff>
    </xdr:to>
    <xdr:cxnSp macro="">
      <xdr:nvCxnSpPr>
        <xdr:cNvPr id="37903" name="직선 화살표 연결선 37902"/>
        <xdr:cNvCxnSpPr/>
      </xdr:nvCxnSpPr>
      <xdr:spPr>
        <a:xfrm>
          <a:off x="12791803" y="11650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74</xdr:row>
      <xdr:rowOff>19050</xdr:rowOff>
    </xdr:from>
    <xdr:to>
      <xdr:col>37</xdr:col>
      <xdr:colOff>103414</xdr:colOff>
      <xdr:row>74</xdr:row>
      <xdr:rowOff>133350</xdr:rowOff>
    </xdr:to>
    <xdr:sp macro="" textlink="">
      <xdr:nvSpPr>
        <xdr:cNvPr id="37904" name="직사각형 37903"/>
        <xdr:cNvSpPr/>
      </xdr:nvSpPr>
      <xdr:spPr>
        <a:xfrm>
          <a:off x="12791803" y="11441430"/>
          <a:ext cx="5170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74</xdr:row>
      <xdr:rowOff>76200</xdr:rowOff>
    </xdr:from>
    <xdr:to>
      <xdr:col>34</xdr:col>
      <xdr:colOff>87402</xdr:colOff>
      <xdr:row>74</xdr:row>
      <xdr:rowOff>76200</xdr:rowOff>
    </xdr:to>
    <xdr:cxnSp macro="">
      <xdr:nvCxnSpPr>
        <xdr:cNvPr id="37905" name="직선 화살표 연결선 37904"/>
        <xdr:cNvCxnSpPr/>
      </xdr:nvCxnSpPr>
      <xdr:spPr>
        <a:xfrm>
          <a:off x="12791803" y="11498580"/>
          <a:ext cx="667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73</xdr:row>
      <xdr:rowOff>19050</xdr:rowOff>
    </xdr:from>
    <xdr:to>
      <xdr:col>34</xdr:col>
      <xdr:colOff>20683</xdr:colOff>
      <xdr:row>73</xdr:row>
      <xdr:rowOff>133350</xdr:rowOff>
    </xdr:to>
    <xdr:sp macro="" textlink="">
      <xdr:nvSpPr>
        <xdr:cNvPr id="37906" name="직사각형 37905"/>
        <xdr:cNvSpPr/>
      </xdr:nvSpPr>
      <xdr:spPr>
        <a:xfrm>
          <a:off x="12647023" y="112890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73</xdr:row>
      <xdr:rowOff>76200</xdr:rowOff>
    </xdr:from>
    <xdr:to>
      <xdr:col>33</xdr:col>
      <xdr:colOff>20683</xdr:colOff>
      <xdr:row>73</xdr:row>
      <xdr:rowOff>76200</xdr:rowOff>
    </xdr:to>
    <xdr:cxnSp macro="">
      <xdr:nvCxnSpPr>
        <xdr:cNvPr id="37907" name="직선 화살표 연결선 37906"/>
        <xdr:cNvCxnSpPr/>
      </xdr:nvCxnSpPr>
      <xdr:spPr>
        <a:xfrm>
          <a:off x="12647023"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72</xdr:row>
      <xdr:rowOff>19050</xdr:rowOff>
    </xdr:from>
    <xdr:to>
      <xdr:col>35</xdr:col>
      <xdr:colOff>20683</xdr:colOff>
      <xdr:row>72</xdr:row>
      <xdr:rowOff>133350</xdr:rowOff>
    </xdr:to>
    <xdr:sp macro="" textlink="">
      <xdr:nvSpPr>
        <xdr:cNvPr id="37908" name="직사각형 37907"/>
        <xdr:cNvSpPr/>
      </xdr:nvSpPr>
      <xdr:spPr>
        <a:xfrm>
          <a:off x="12833169" y="11136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72</xdr:row>
      <xdr:rowOff>76200</xdr:rowOff>
    </xdr:from>
    <xdr:to>
      <xdr:col>34</xdr:col>
      <xdr:colOff>62049</xdr:colOff>
      <xdr:row>72</xdr:row>
      <xdr:rowOff>76200</xdr:rowOff>
    </xdr:to>
    <xdr:cxnSp macro="">
      <xdr:nvCxnSpPr>
        <xdr:cNvPr id="37909" name="직선 화살표 연결선 37908"/>
        <xdr:cNvCxnSpPr/>
      </xdr:nvCxnSpPr>
      <xdr:spPr>
        <a:xfrm>
          <a:off x="12833169"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71</xdr:row>
      <xdr:rowOff>19050</xdr:rowOff>
    </xdr:from>
    <xdr:to>
      <xdr:col>34</xdr:col>
      <xdr:colOff>82731</xdr:colOff>
      <xdr:row>71</xdr:row>
      <xdr:rowOff>133350</xdr:rowOff>
    </xdr:to>
    <xdr:sp macro="" textlink="">
      <xdr:nvSpPr>
        <xdr:cNvPr id="37910" name="직사각형 37909"/>
        <xdr:cNvSpPr/>
      </xdr:nvSpPr>
      <xdr:spPr>
        <a:xfrm>
          <a:off x="12750437" y="10984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71</xdr:row>
      <xdr:rowOff>76200</xdr:rowOff>
    </xdr:from>
    <xdr:to>
      <xdr:col>33</xdr:col>
      <xdr:colOff>124097</xdr:colOff>
      <xdr:row>71</xdr:row>
      <xdr:rowOff>76200</xdr:rowOff>
    </xdr:to>
    <xdr:cxnSp macro="">
      <xdr:nvCxnSpPr>
        <xdr:cNvPr id="37911" name="직선 화살표 연결선 37910"/>
        <xdr:cNvCxnSpPr/>
      </xdr:nvCxnSpPr>
      <xdr:spPr>
        <a:xfrm>
          <a:off x="12750437"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70</xdr:row>
      <xdr:rowOff>19050</xdr:rowOff>
    </xdr:from>
    <xdr:to>
      <xdr:col>33</xdr:col>
      <xdr:colOff>124097</xdr:colOff>
      <xdr:row>70</xdr:row>
      <xdr:rowOff>133350</xdr:rowOff>
    </xdr:to>
    <xdr:sp macro="" textlink="">
      <xdr:nvSpPr>
        <xdr:cNvPr id="37912" name="직사각형 37911"/>
        <xdr:cNvSpPr/>
      </xdr:nvSpPr>
      <xdr:spPr>
        <a:xfrm>
          <a:off x="12605657" y="108318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70</xdr:row>
      <xdr:rowOff>76200</xdr:rowOff>
    </xdr:from>
    <xdr:to>
      <xdr:col>32</xdr:col>
      <xdr:colOff>124097</xdr:colOff>
      <xdr:row>70</xdr:row>
      <xdr:rowOff>76200</xdr:rowOff>
    </xdr:to>
    <xdr:cxnSp macro="">
      <xdr:nvCxnSpPr>
        <xdr:cNvPr id="37913" name="직선 화살표 연결선 37912"/>
        <xdr:cNvCxnSpPr/>
      </xdr:nvCxnSpPr>
      <xdr:spPr>
        <a:xfrm>
          <a:off x="12605657" y="1088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69</xdr:row>
      <xdr:rowOff>19050</xdr:rowOff>
    </xdr:from>
    <xdr:to>
      <xdr:col>32</xdr:col>
      <xdr:colOff>124097</xdr:colOff>
      <xdr:row>69</xdr:row>
      <xdr:rowOff>133350</xdr:rowOff>
    </xdr:to>
    <xdr:sp macro="" textlink="">
      <xdr:nvSpPr>
        <xdr:cNvPr id="37914" name="직사각형 37913"/>
        <xdr:cNvSpPr/>
      </xdr:nvSpPr>
      <xdr:spPr>
        <a:xfrm>
          <a:off x="12502243" y="10679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69</xdr:row>
      <xdr:rowOff>76200</xdr:rowOff>
    </xdr:from>
    <xdr:to>
      <xdr:col>32</xdr:col>
      <xdr:colOff>20683</xdr:colOff>
      <xdr:row>69</xdr:row>
      <xdr:rowOff>76200</xdr:rowOff>
    </xdr:to>
    <xdr:cxnSp macro="">
      <xdr:nvCxnSpPr>
        <xdr:cNvPr id="37915" name="직선 화살표 연결선 37914"/>
        <xdr:cNvCxnSpPr/>
      </xdr:nvCxnSpPr>
      <xdr:spPr>
        <a:xfrm>
          <a:off x="12502243"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68</xdr:row>
      <xdr:rowOff>19050</xdr:rowOff>
    </xdr:from>
    <xdr:to>
      <xdr:col>33</xdr:col>
      <xdr:colOff>0</xdr:colOff>
      <xdr:row>68</xdr:row>
      <xdr:rowOff>133350</xdr:rowOff>
    </xdr:to>
    <xdr:sp macro="" textlink="">
      <xdr:nvSpPr>
        <xdr:cNvPr id="37916" name="직사각형 37915"/>
        <xdr:cNvSpPr/>
      </xdr:nvSpPr>
      <xdr:spPr>
        <a:xfrm>
          <a:off x="12605657" y="10527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68</xdr:row>
      <xdr:rowOff>76200</xdr:rowOff>
    </xdr:from>
    <xdr:to>
      <xdr:col>33</xdr:col>
      <xdr:colOff>0</xdr:colOff>
      <xdr:row>68</xdr:row>
      <xdr:rowOff>76200</xdr:rowOff>
    </xdr:to>
    <xdr:cxnSp macro="">
      <xdr:nvCxnSpPr>
        <xdr:cNvPr id="37917" name="직선 화살표 연결선 37916"/>
        <xdr:cNvCxnSpPr/>
      </xdr:nvCxnSpPr>
      <xdr:spPr>
        <a:xfrm>
          <a:off x="12605657" y="10584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67</xdr:row>
      <xdr:rowOff>19050</xdr:rowOff>
    </xdr:from>
    <xdr:to>
      <xdr:col>33</xdr:col>
      <xdr:colOff>20683</xdr:colOff>
      <xdr:row>67</xdr:row>
      <xdr:rowOff>133350</xdr:rowOff>
    </xdr:to>
    <xdr:sp macro="" textlink="">
      <xdr:nvSpPr>
        <xdr:cNvPr id="37918" name="직사각형 37917"/>
        <xdr:cNvSpPr/>
      </xdr:nvSpPr>
      <xdr:spPr>
        <a:xfrm>
          <a:off x="12605657" y="10374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67</xdr:row>
      <xdr:rowOff>76200</xdr:rowOff>
    </xdr:from>
    <xdr:to>
      <xdr:col>32</xdr:col>
      <xdr:colOff>124097</xdr:colOff>
      <xdr:row>67</xdr:row>
      <xdr:rowOff>76200</xdr:rowOff>
    </xdr:to>
    <xdr:cxnSp macro="">
      <xdr:nvCxnSpPr>
        <xdr:cNvPr id="37919" name="직선 화살표 연결선 37918"/>
        <xdr:cNvCxnSpPr/>
      </xdr:nvCxnSpPr>
      <xdr:spPr>
        <a:xfrm>
          <a:off x="12605657"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66</xdr:row>
      <xdr:rowOff>19050</xdr:rowOff>
    </xdr:from>
    <xdr:to>
      <xdr:col>33</xdr:col>
      <xdr:colOff>20683</xdr:colOff>
      <xdr:row>66</xdr:row>
      <xdr:rowOff>133350</xdr:rowOff>
    </xdr:to>
    <xdr:sp macro="" textlink="">
      <xdr:nvSpPr>
        <xdr:cNvPr id="37920" name="직사각형 37919"/>
        <xdr:cNvSpPr/>
      </xdr:nvSpPr>
      <xdr:spPr>
        <a:xfrm>
          <a:off x="12605657" y="10222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66</xdr:row>
      <xdr:rowOff>76200</xdr:rowOff>
    </xdr:from>
    <xdr:to>
      <xdr:col>32</xdr:col>
      <xdr:colOff>124097</xdr:colOff>
      <xdr:row>66</xdr:row>
      <xdr:rowOff>76200</xdr:rowOff>
    </xdr:to>
    <xdr:cxnSp macro="">
      <xdr:nvCxnSpPr>
        <xdr:cNvPr id="37921" name="직선 화살표 연결선 37920"/>
        <xdr:cNvCxnSpPr/>
      </xdr:nvCxnSpPr>
      <xdr:spPr>
        <a:xfrm>
          <a:off x="12605657"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65</xdr:row>
      <xdr:rowOff>19050</xdr:rowOff>
    </xdr:from>
    <xdr:to>
      <xdr:col>32</xdr:col>
      <xdr:colOff>103414</xdr:colOff>
      <xdr:row>65</xdr:row>
      <xdr:rowOff>133350</xdr:rowOff>
    </xdr:to>
    <xdr:sp macro="" textlink="">
      <xdr:nvSpPr>
        <xdr:cNvPr id="37922" name="직사각형 37921"/>
        <xdr:cNvSpPr/>
      </xdr:nvSpPr>
      <xdr:spPr>
        <a:xfrm>
          <a:off x="12564291" y="10069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65</xdr:row>
      <xdr:rowOff>76200</xdr:rowOff>
    </xdr:from>
    <xdr:to>
      <xdr:col>32</xdr:col>
      <xdr:colOff>103414</xdr:colOff>
      <xdr:row>65</xdr:row>
      <xdr:rowOff>76200</xdr:rowOff>
    </xdr:to>
    <xdr:cxnSp macro="">
      <xdr:nvCxnSpPr>
        <xdr:cNvPr id="37923" name="직선 화살표 연결선 37922"/>
        <xdr:cNvCxnSpPr/>
      </xdr:nvCxnSpPr>
      <xdr:spPr>
        <a:xfrm>
          <a:off x="12564291" y="10126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64</xdr:row>
      <xdr:rowOff>19050</xdr:rowOff>
    </xdr:from>
    <xdr:to>
      <xdr:col>32</xdr:col>
      <xdr:colOff>82731</xdr:colOff>
      <xdr:row>64</xdr:row>
      <xdr:rowOff>133350</xdr:rowOff>
    </xdr:to>
    <xdr:sp macro="" textlink="">
      <xdr:nvSpPr>
        <xdr:cNvPr id="37924" name="직사각형 37923"/>
        <xdr:cNvSpPr/>
      </xdr:nvSpPr>
      <xdr:spPr>
        <a:xfrm>
          <a:off x="12543609" y="99174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64</xdr:row>
      <xdr:rowOff>76200</xdr:rowOff>
    </xdr:from>
    <xdr:to>
      <xdr:col>32</xdr:col>
      <xdr:colOff>82731</xdr:colOff>
      <xdr:row>64</xdr:row>
      <xdr:rowOff>76200</xdr:rowOff>
    </xdr:to>
    <xdr:cxnSp macro="">
      <xdr:nvCxnSpPr>
        <xdr:cNvPr id="37925" name="직선 화살표 연결선 37924"/>
        <xdr:cNvCxnSpPr/>
      </xdr:nvCxnSpPr>
      <xdr:spPr>
        <a:xfrm>
          <a:off x="12543609" y="99745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63</xdr:row>
      <xdr:rowOff>19050</xdr:rowOff>
    </xdr:from>
    <xdr:to>
      <xdr:col>32</xdr:col>
      <xdr:colOff>124097</xdr:colOff>
      <xdr:row>63</xdr:row>
      <xdr:rowOff>133350</xdr:rowOff>
    </xdr:to>
    <xdr:sp macro="" textlink="">
      <xdr:nvSpPr>
        <xdr:cNvPr id="37926" name="직사각형 37925"/>
        <xdr:cNvSpPr/>
      </xdr:nvSpPr>
      <xdr:spPr>
        <a:xfrm>
          <a:off x="12543609" y="9765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63</xdr:row>
      <xdr:rowOff>76200</xdr:rowOff>
    </xdr:from>
    <xdr:to>
      <xdr:col>32</xdr:col>
      <xdr:colOff>62049</xdr:colOff>
      <xdr:row>63</xdr:row>
      <xdr:rowOff>76200</xdr:rowOff>
    </xdr:to>
    <xdr:cxnSp macro="">
      <xdr:nvCxnSpPr>
        <xdr:cNvPr id="37927" name="직선 화살표 연결선 37926"/>
        <xdr:cNvCxnSpPr/>
      </xdr:nvCxnSpPr>
      <xdr:spPr>
        <a:xfrm>
          <a:off x="12543609" y="982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62</xdr:row>
      <xdr:rowOff>19050</xdr:rowOff>
    </xdr:from>
    <xdr:to>
      <xdr:col>32</xdr:col>
      <xdr:colOff>20683</xdr:colOff>
      <xdr:row>62</xdr:row>
      <xdr:rowOff>133350</xdr:rowOff>
    </xdr:to>
    <xdr:sp macro="" textlink="">
      <xdr:nvSpPr>
        <xdr:cNvPr id="37928" name="직사각형 37927"/>
        <xdr:cNvSpPr/>
      </xdr:nvSpPr>
      <xdr:spPr>
        <a:xfrm>
          <a:off x="12481560" y="961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62</xdr:row>
      <xdr:rowOff>76200</xdr:rowOff>
    </xdr:from>
    <xdr:to>
      <xdr:col>32</xdr:col>
      <xdr:colOff>20683</xdr:colOff>
      <xdr:row>62</xdr:row>
      <xdr:rowOff>76200</xdr:rowOff>
    </xdr:to>
    <xdr:cxnSp macro="">
      <xdr:nvCxnSpPr>
        <xdr:cNvPr id="37929" name="직선 화살표 연결선 37928"/>
        <xdr:cNvCxnSpPr/>
      </xdr:nvCxnSpPr>
      <xdr:spPr>
        <a:xfrm>
          <a:off x="12481560" y="9669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61</xdr:row>
      <xdr:rowOff>19050</xdr:rowOff>
    </xdr:from>
    <xdr:to>
      <xdr:col>32</xdr:col>
      <xdr:colOff>124097</xdr:colOff>
      <xdr:row>61</xdr:row>
      <xdr:rowOff>133350</xdr:rowOff>
    </xdr:to>
    <xdr:sp macro="" textlink="">
      <xdr:nvSpPr>
        <xdr:cNvPr id="37930" name="직사각형 37929"/>
        <xdr:cNvSpPr/>
      </xdr:nvSpPr>
      <xdr:spPr>
        <a:xfrm>
          <a:off x="12522926" y="9460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61</xdr:row>
      <xdr:rowOff>76200</xdr:rowOff>
    </xdr:from>
    <xdr:to>
      <xdr:col>32</xdr:col>
      <xdr:colOff>41366</xdr:colOff>
      <xdr:row>61</xdr:row>
      <xdr:rowOff>76200</xdr:rowOff>
    </xdr:to>
    <xdr:cxnSp macro="">
      <xdr:nvCxnSpPr>
        <xdr:cNvPr id="37931" name="직선 화살표 연결선 37930"/>
        <xdr:cNvCxnSpPr/>
      </xdr:nvCxnSpPr>
      <xdr:spPr>
        <a:xfrm>
          <a:off x="12522926"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60</xdr:row>
      <xdr:rowOff>19050</xdr:rowOff>
    </xdr:from>
    <xdr:to>
      <xdr:col>32</xdr:col>
      <xdr:colOff>20683</xdr:colOff>
      <xdr:row>60</xdr:row>
      <xdr:rowOff>133350</xdr:rowOff>
    </xdr:to>
    <xdr:sp macro="" textlink="">
      <xdr:nvSpPr>
        <xdr:cNvPr id="37932" name="직사각형 37931"/>
        <xdr:cNvSpPr/>
      </xdr:nvSpPr>
      <xdr:spPr>
        <a:xfrm>
          <a:off x="12481560" y="9307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60</xdr:row>
      <xdr:rowOff>76200</xdr:rowOff>
    </xdr:from>
    <xdr:to>
      <xdr:col>32</xdr:col>
      <xdr:colOff>20683</xdr:colOff>
      <xdr:row>60</xdr:row>
      <xdr:rowOff>76200</xdr:rowOff>
    </xdr:to>
    <xdr:cxnSp macro="">
      <xdr:nvCxnSpPr>
        <xdr:cNvPr id="37933" name="직선 화살표 연결선 37932"/>
        <xdr:cNvCxnSpPr/>
      </xdr:nvCxnSpPr>
      <xdr:spPr>
        <a:xfrm>
          <a:off x="12481560" y="9364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59</xdr:row>
      <xdr:rowOff>19050</xdr:rowOff>
    </xdr:from>
    <xdr:to>
      <xdr:col>32</xdr:col>
      <xdr:colOff>0</xdr:colOff>
      <xdr:row>59</xdr:row>
      <xdr:rowOff>133350</xdr:rowOff>
    </xdr:to>
    <xdr:sp macro="" textlink="">
      <xdr:nvSpPr>
        <xdr:cNvPr id="37934" name="직사각형 37933"/>
        <xdr:cNvSpPr/>
      </xdr:nvSpPr>
      <xdr:spPr>
        <a:xfrm>
          <a:off x="12460877" y="915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59</xdr:row>
      <xdr:rowOff>76200</xdr:rowOff>
    </xdr:from>
    <xdr:to>
      <xdr:col>32</xdr:col>
      <xdr:colOff>0</xdr:colOff>
      <xdr:row>59</xdr:row>
      <xdr:rowOff>76200</xdr:rowOff>
    </xdr:to>
    <xdr:cxnSp macro="">
      <xdr:nvCxnSpPr>
        <xdr:cNvPr id="37935" name="직선 화살표 연결선 37934"/>
        <xdr:cNvCxnSpPr/>
      </xdr:nvCxnSpPr>
      <xdr:spPr>
        <a:xfrm>
          <a:off x="12460877" y="9212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58</xdr:row>
      <xdr:rowOff>19050</xdr:rowOff>
    </xdr:from>
    <xdr:to>
      <xdr:col>31</xdr:col>
      <xdr:colOff>124097</xdr:colOff>
      <xdr:row>58</xdr:row>
      <xdr:rowOff>133350</xdr:rowOff>
    </xdr:to>
    <xdr:sp macro="" textlink="">
      <xdr:nvSpPr>
        <xdr:cNvPr id="37936" name="직사각형 37935"/>
        <xdr:cNvSpPr/>
      </xdr:nvSpPr>
      <xdr:spPr>
        <a:xfrm>
          <a:off x="12440194" y="9003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58</xdr:row>
      <xdr:rowOff>76200</xdr:rowOff>
    </xdr:from>
    <xdr:to>
      <xdr:col>31</xdr:col>
      <xdr:colOff>124097</xdr:colOff>
      <xdr:row>58</xdr:row>
      <xdr:rowOff>76200</xdr:rowOff>
    </xdr:to>
    <xdr:cxnSp macro="">
      <xdr:nvCxnSpPr>
        <xdr:cNvPr id="37937" name="직선 화살표 연결선 37936"/>
        <xdr:cNvCxnSpPr/>
      </xdr:nvCxnSpPr>
      <xdr:spPr>
        <a:xfrm>
          <a:off x="12440194" y="9060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57</xdr:row>
      <xdr:rowOff>19050</xdr:rowOff>
    </xdr:from>
    <xdr:to>
      <xdr:col>35</xdr:col>
      <xdr:colOff>20683</xdr:colOff>
      <xdr:row>57</xdr:row>
      <xdr:rowOff>133350</xdr:rowOff>
    </xdr:to>
    <xdr:sp macro="" textlink="">
      <xdr:nvSpPr>
        <xdr:cNvPr id="37938" name="직사각형 37937"/>
        <xdr:cNvSpPr/>
      </xdr:nvSpPr>
      <xdr:spPr>
        <a:xfrm>
          <a:off x="12440194" y="8850630"/>
          <a:ext cx="496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57</xdr:row>
      <xdr:rowOff>76200</xdr:rowOff>
    </xdr:from>
    <xdr:to>
      <xdr:col>32</xdr:col>
      <xdr:colOff>32565</xdr:colOff>
      <xdr:row>57</xdr:row>
      <xdr:rowOff>76200</xdr:rowOff>
    </xdr:to>
    <xdr:cxnSp macro="">
      <xdr:nvCxnSpPr>
        <xdr:cNvPr id="37939" name="직선 화살표 연결선 37938"/>
        <xdr:cNvCxnSpPr/>
      </xdr:nvCxnSpPr>
      <xdr:spPr>
        <a:xfrm>
          <a:off x="12440194" y="8907780"/>
          <a:ext cx="739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56</xdr:row>
      <xdr:rowOff>19050</xdr:rowOff>
    </xdr:from>
    <xdr:to>
      <xdr:col>32</xdr:col>
      <xdr:colOff>124097</xdr:colOff>
      <xdr:row>56</xdr:row>
      <xdr:rowOff>133350</xdr:rowOff>
    </xdr:to>
    <xdr:sp macro="" textlink="">
      <xdr:nvSpPr>
        <xdr:cNvPr id="37940" name="직사각형 37939"/>
        <xdr:cNvSpPr/>
      </xdr:nvSpPr>
      <xdr:spPr>
        <a:xfrm>
          <a:off x="12543609" y="8698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56</xdr:row>
      <xdr:rowOff>76200</xdr:rowOff>
    </xdr:from>
    <xdr:to>
      <xdr:col>32</xdr:col>
      <xdr:colOff>62049</xdr:colOff>
      <xdr:row>56</xdr:row>
      <xdr:rowOff>76200</xdr:rowOff>
    </xdr:to>
    <xdr:cxnSp macro="">
      <xdr:nvCxnSpPr>
        <xdr:cNvPr id="37941" name="직선 화살표 연결선 37940"/>
        <xdr:cNvCxnSpPr/>
      </xdr:nvCxnSpPr>
      <xdr:spPr>
        <a:xfrm>
          <a:off x="12543609"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55</xdr:row>
      <xdr:rowOff>19050</xdr:rowOff>
    </xdr:from>
    <xdr:to>
      <xdr:col>31</xdr:col>
      <xdr:colOff>124097</xdr:colOff>
      <xdr:row>55</xdr:row>
      <xdr:rowOff>133350</xdr:rowOff>
    </xdr:to>
    <xdr:sp macro="" textlink="">
      <xdr:nvSpPr>
        <xdr:cNvPr id="37942" name="직사각형 37941"/>
        <xdr:cNvSpPr/>
      </xdr:nvSpPr>
      <xdr:spPr>
        <a:xfrm>
          <a:off x="12440194" y="8545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55</xdr:row>
      <xdr:rowOff>76200</xdr:rowOff>
    </xdr:from>
    <xdr:to>
      <xdr:col>31</xdr:col>
      <xdr:colOff>124097</xdr:colOff>
      <xdr:row>55</xdr:row>
      <xdr:rowOff>76200</xdr:rowOff>
    </xdr:to>
    <xdr:cxnSp macro="">
      <xdr:nvCxnSpPr>
        <xdr:cNvPr id="37943" name="직선 화살표 연결선 37942"/>
        <xdr:cNvCxnSpPr/>
      </xdr:nvCxnSpPr>
      <xdr:spPr>
        <a:xfrm>
          <a:off x="12440194" y="8602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54</xdr:row>
      <xdr:rowOff>19050</xdr:rowOff>
    </xdr:from>
    <xdr:to>
      <xdr:col>32</xdr:col>
      <xdr:colOff>103414</xdr:colOff>
      <xdr:row>54</xdr:row>
      <xdr:rowOff>133350</xdr:rowOff>
    </xdr:to>
    <xdr:sp macro="" textlink="">
      <xdr:nvSpPr>
        <xdr:cNvPr id="37944" name="직사각형 37943"/>
        <xdr:cNvSpPr/>
      </xdr:nvSpPr>
      <xdr:spPr>
        <a:xfrm>
          <a:off x="12564291" y="8393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54</xdr:row>
      <xdr:rowOff>76200</xdr:rowOff>
    </xdr:from>
    <xdr:to>
      <xdr:col>32</xdr:col>
      <xdr:colOff>82731</xdr:colOff>
      <xdr:row>54</xdr:row>
      <xdr:rowOff>76200</xdr:rowOff>
    </xdr:to>
    <xdr:cxnSp macro="">
      <xdr:nvCxnSpPr>
        <xdr:cNvPr id="37945" name="직선 화살표 연결선 37944"/>
        <xdr:cNvCxnSpPr/>
      </xdr:nvCxnSpPr>
      <xdr:spPr>
        <a:xfrm>
          <a:off x="12564291"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53</xdr:row>
      <xdr:rowOff>19050</xdr:rowOff>
    </xdr:from>
    <xdr:to>
      <xdr:col>32</xdr:col>
      <xdr:colOff>103414</xdr:colOff>
      <xdr:row>53</xdr:row>
      <xdr:rowOff>133350</xdr:rowOff>
    </xdr:to>
    <xdr:sp macro="" textlink="">
      <xdr:nvSpPr>
        <xdr:cNvPr id="37946" name="직사각형 37945"/>
        <xdr:cNvSpPr/>
      </xdr:nvSpPr>
      <xdr:spPr>
        <a:xfrm>
          <a:off x="12564291" y="8241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53</xdr:row>
      <xdr:rowOff>76200</xdr:rowOff>
    </xdr:from>
    <xdr:to>
      <xdr:col>32</xdr:col>
      <xdr:colOff>93072</xdr:colOff>
      <xdr:row>53</xdr:row>
      <xdr:rowOff>76200</xdr:rowOff>
    </xdr:to>
    <xdr:cxnSp macro="">
      <xdr:nvCxnSpPr>
        <xdr:cNvPr id="37947" name="직선 화살표 연결선 37946"/>
        <xdr:cNvCxnSpPr/>
      </xdr:nvCxnSpPr>
      <xdr:spPr>
        <a:xfrm>
          <a:off x="12564291" y="8298180"/>
          <a:ext cx="10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52</xdr:row>
      <xdr:rowOff>19050</xdr:rowOff>
    </xdr:from>
    <xdr:to>
      <xdr:col>33</xdr:col>
      <xdr:colOff>20683</xdr:colOff>
      <xdr:row>52</xdr:row>
      <xdr:rowOff>133350</xdr:rowOff>
    </xdr:to>
    <xdr:sp macro="" textlink="">
      <xdr:nvSpPr>
        <xdr:cNvPr id="37948" name="직사각형 37947"/>
        <xdr:cNvSpPr/>
      </xdr:nvSpPr>
      <xdr:spPr>
        <a:xfrm>
          <a:off x="12605657" y="8088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52</xdr:row>
      <xdr:rowOff>76200</xdr:rowOff>
    </xdr:from>
    <xdr:to>
      <xdr:col>32</xdr:col>
      <xdr:colOff>144779</xdr:colOff>
      <xdr:row>52</xdr:row>
      <xdr:rowOff>76200</xdr:rowOff>
    </xdr:to>
    <xdr:cxnSp macro="">
      <xdr:nvCxnSpPr>
        <xdr:cNvPr id="37949" name="직선 화살표 연결선 37948"/>
        <xdr:cNvCxnSpPr/>
      </xdr:nvCxnSpPr>
      <xdr:spPr>
        <a:xfrm>
          <a:off x="12605657" y="81457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51</xdr:row>
      <xdr:rowOff>19050</xdr:rowOff>
    </xdr:from>
    <xdr:to>
      <xdr:col>31</xdr:col>
      <xdr:colOff>103414</xdr:colOff>
      <xdr:row>51</xdr:row>
      <xdr:rowOff>133350</xdr:rowOff>
    </xdr:to>
    <xdr:sp macro="" textlink="">
      <xdr:nvSpPr>
        <xdr:cNvPr id="37950" name="직사각형 37949"/>
        <xdr:cNvSpPr/>
      </xdr:nvSpPr>
      <xdr:spPr>
        <a:xfrm>
          <a:off x="12419512" y="7936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51</xdr:row>
      <xdr:rowOff>76200</xdr:rowOff>
    </xdr:from>
    <xdr:to>
      <xdr:col>31</xdr:col>
      <xdr:colOff>103414</xdr:colOff>
      <xdr:row>51</xdr:row>
      <xdr:rowOff>76200</xdr:rowOff>
    </xdr:to>
    <xdr:cxnSp macro="">
      <xdr:nvCxnSpPr>
        <xdr:cNvPr id="37951" name="직선 화살표 연결선 37950"/>
        <xdr:cNvCxnSpPr/>
      </xdr:nvCxnSpPr>
      <xdr:spPr>
        <a:xfrm>
          <a:off x="12419512" y="7993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50</xdr:row>
      <xdr:rowOff>19050</xdr:rowOff>
    </xdr:from>
    <xdr:to>
      <xdr:col>31</xdr:col>
      <xdr:colOff>103414</xdr:colOff>
      <xdr:row>50</xdr:row>
      <xdr:rowOff>133350</xdr:rowOff>
    </xdr:to>
    <xdr:sp macro="" textlink="">
      <xdr:nvSpPr>
        <xdr:cNvPr id="37952" name="직사각형 37951"/>
        <xdr:cNvSpPr/>
      </xdr:nvSpPr>
      <xdr:spPr>
        <a:xfrm>
          <a:off x="12419512" y="7783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50</xdr:row>
      <xdr:rowOff>76200</xdr:rowOff>
    </xdr:from>
    <xdr:to>
      <xdr:col>31</xdr:col>
      <xdr:colOff>103414</xdr:colOff>
      <xdr:row>50</xdr:row>
      <xdr:rowOff>76200</xdr:rowOff>
    </xdr:to>
    <xdr:cxnSp macro="">
      <xdr:nvCxnSpPr>
        <xdr:cNvPr id="37953" name="직선 화살표 연결선 37952"/>
        <xdr:cNvCxnSpPr/>
      </xdr:nvCxnSpPr>
      <xdr:spPr>
        <a:xfrm>
          <a:off x="12419512" y="7840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49</xdr:row>
      <xdr:rowOff>19050</xdr:rowOff>
    </xdr:from>
    <xdr:to>
      <xdr:col>32</xdr:col>
      <xdr:colOff>0</xdr:colOff>
      <xdr:row>49</xdr:row>
      <xdr:rowOff>133350</xdr:rowOff>
    </xdr:to>
    <xdr:sp macro="" textlink="">
      <xdr:nvSpPr>
        <xdr:cNvPr id="37954" name="직사각형 37953"/>
        <xdr:cNvSpPr/>
      </xdr:nvSpPr>
      <xdr:spPr>
        <a:xfrm>
          <a:off x="12419512" y="7631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49</xdr:row>
      <xdr:rowOff>76200</xdr:rowOff>
    </xdr:from>
    <xdr:to>
      <xdr:col>31</xdr:col>
      <xdr:colOff>119960</xdr:colOff>
      <xdr:row>49</xdr:row>
      <xdr:rowOff>76200</xdr:rowOff>
    </xdr:to>
    <xdr:cxnSp macro="">
      <xdr:nvCxnSpPr>
        <xdr:cNvPr id="37955" name="직선 화살표 연결선 37954"/>
        <xdr:cNvCxnSpPr/>
      </xdr:nvCxnSpPr>
      <xdr:spPr>
        <a:xfrm>
          <a:off x="12419512" y="7688580"/>
          <a:ext cx="372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48</xdr:row>
      <xdr:rowOff>19050</xdr:rowOff>
    </xdr:from>
    <xdr:to>
      <xdr:col>31</xdr:col>
      <xdr:colOff>103414</xdr:colOff>
      <xdr:row>48</xdr:row>
      <xdr:rowOff>133350</xdr:rowOff>
    </xdr:to>
    <xdr:sp macro="" textlink="">
      <xdr:nvSpPr>
        <xdr:cNvPr id="37956" name="직사각형 37955"/>
        <xdr:cNvSpPr/>
      </xdr:nvSpPr>
      <xdr:spPr>
        <a:xfrm>
          <a:off x="12419512" y="7479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48</xdr:row>
      <xdr:rowOff>76200</xdr:rowOff>
    </xdr:from>
    <xdr:to>
      <xdr:col>31</xdr:col>
      <xdr:colOff>103414</xdr:colOff>
      <xdr:row>48</xdr:row>
      <xdr:rowOff>76200</xdr:rowOff>
    </xdr:to>
    <xdr:cxnSp macro="">
      <xdr:nvCxnSpPr>
        <xdr:cNvPr id="37957" name="직선 화살표 연결선 37956"/>
        <xdr:cNvCxnSpPr/>
      </xdr:nvCxnSpPr>
      <xdr:spPr>
        <a:xfrm>
          <a:off x="12419512" y="75361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47</xdr:row>
      <xdr:rowOff>19050</xdr:rowOff>
    </xdr:from>
    <xdr:to>
      <xdr:col>33</xdr:col>
      <xdr:colOff>20683</xdr:colOff>
      <xdr:row>47</xdr:row>
      <xdr:rowOff>133350</xdr:rowOff>
    </xdr:to>
    <xdr:sp macro="" textlink="">
      <xdr:nvSpPr>
        <xdr:cNvPr id="37958" name="직사각형 37957"/>
        <xdr:cNvSpPr/>
      </xdr:nvSpPr>
      <xdr:spPr>
        <a:xfrm>
          <a:off x="12419512" y="73266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47</xdr:row>
      <xdr:rowOff>76200</xdr:rowOff>
    </xdr:from>
    <xdr:to>
      <xdr:col>32</xdr:col>
      <xdr:colOff>56582</xdr:colOff>
      <xdr:row>47</xdr:row>
      <xdr:rowOff>76200</xdr:rowOff>
    </xdr:to>
    <xdr:cxnSp macro="">
      <xdr:nvCxnSpPr>
        <xdr:cNvPr id="37959" name="직선 화살표 연결선 37958"/>
        <xdr:cNvCxnSpPr/>
      </xdr:nvCxnSpPr>
      <xdr:spPr>
        <a:xfrm>
          <a:off x="12419512" y="7383780"/>
          <a:ext cx="1186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46</xdr:row>
      <xdr:rowOff>19050</xdr:rowOff>
    </xdr:from>
    <xdr:to>
      <xdr:col>34</xdr:col>
      <xdr:colOff>0</xdr:colOff>
      <xdr:row>46</xdr:row>
      <xdr:rowOff>133350</xdr:rowOff>
    </xdr:to>
    <xdr:sp macro="" textlink="">
      <xdr:nvSpPr>
        <xdr:cNvPr id="37960" name="직사각형 37959"/>
        <xdr:cNvSpPr/>
      </xdr:nvSpPr>
      <xdr:spPr>
        <a:xfrm>
          <a:off x="12729754" y="7174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46</xdr:row>
      <xdr:rowOff>76200</xdr:rowOff>
    </xdr:from>
    <xdr:to>
      <xdr:col>33</xdr:col>
      <xdr:colOff>103414</xdr:colOff>
      <xdr:row>46</xdr:row>
      <xdr:rowOff>76200</xdr:rowOff>
    </xdr:to>
    <xdr:cxnSp macro="">
      <xdr:nvCxnSpPr>
        <xdr:cNvPr id="37961" name="직선 화살표 연결선 37960"/>
        <xdr:cNvCxnSpPr/>
      </xdr:nvCxnSpPr>
      <xdr:spPr>
        <a:xfrm>
          <a:off x="12729754"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45</xdr:row>
      <xdr:rowOff>19050</xdr:rowOff>
    </xdr:from>
    <xdr:to>
      <xdr:col>33</xdr:col>
      <xdr:colOff>124097</xdr:colOff>
      <xdr:row>45</xdr:row>
      <xdr:rowOff>133350</xdr:rowOff>
    </xdr:to>
    <xdr:sp macro="" textlink="">
      <xdr:nvSpPr>
        <xdr:cNvPr id="37962" name="직사각형 37961"/>
        <xdr:cNvSpPr/>
      </xdr:nvSpPr>
      <xdr:spPr>
        <a:xfrm>
          <a:off x="12709072" y="7021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45</xdr:row>
      <xdr:rowOff>76200</xdr:rowOff>
    </xdr:from>
    <xdr:to>
      <xdr:col>33</xdr:col>
      <xdr:colOff>82732</xdr:colOff>
      <xdr:row>45</xdr:row>
      <xdr:rowOff>76200</xdr:rowOff>
    </xdr:to>
    <xdr:cxnSp macro="">
      <xdr:nvCxnSpPr>
        <xdr:cNvPr id="37963" name="직선 화살표 연결선 37962"/>
        <xdr:cNvCxnSpPr/>
      </xdr:nvCxnSpPr>
      <xdr:spPr>
        <a:xfrm>
          <a:off x="12709072"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44</xdr:row>
      <xdr:rowOff>19050</xdr:rowOff>
    </xdr:from>
    <xdr:to>
      <xdr:col>33</xdr:col>
      <xdr:colOff>103414</xdr:colOff>
      <xdr:row>44</xdr:row>
      <xdr:rowOff>133350</xdr:rowOff>
    </xdr:to>
    <xdr:sp macro="" textlink="">
      <xdr:nvSpPr>
        <xdr:cNvPr id="37964" name="직사각형 37963"/>
        <xdr:cNvSpPr/>
      </xdr:nvSpPr>
      <xdr:spPr>
        <a:xfrm>
          <a:off x="12688388" y="6869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44</xdr:row>
      <xdr:rowOff>76200</xdr:rowOff>
    </xdr:from>
    <xdr:to>
      <xdr:col>33</xdr:col>
      <xdr:colOff>62048</xdr:colOff>
      <xdr:row>44</xdr:row>
      <xdr:rowOff>76200</xdr:rowOff>
    </xdr:to>
    <xdr:cxnSp macro="">
      <xdr:nvCxnSpPr>
        <xdr:cNvPr id="37965" name="직선 화살표 연결선 37964"/>
        <xdr:cNvCxnSpPr/>
      </xdr:nvCxnSpPr>
      <xdr:spPr>
        <a:xfrm>
          <a:off x="12688388"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43</xdr:row>
      <xdr:rowOff>19050</xdr:rowOff>
    </xdr:from>
    <xdr:to>
      <xdr:col>33</xdr:col>
      <xdr:colOff>82732</xdr:colOff>
      <xdr:row>43</xdr:row>
      <xdr:rowOff>133350</xdr:rowOff>
    </xdr:to>
    <xdr:sp macro="" textlink="">
      <xdr:nvSpPr>
        <xdr:cNvPr id="37966" name="직사각형 37965"/>
        <xdr:cNvSpPr/>
      </xdr:nvSpPr>
      <xdr:spPr>
        <a:xfrm>
          <a:off x="12667706" y="6717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43</xdr:row>
      <xdr:rowOff>76200</xdr:rowOff>
    </xdr:from>
    <xdr:to>
      <xdr:col>33</xdr:col>
      <xdr:colOff>41366</xdr:colOff>
      <xdr:row>43</xdr:row>
      <xdr:rowOff>76200</xdr:rowOff>
    </xdr:to>
    <xdr:cxnSp macro="">
      <xdr:nvCxnSpPr>
        <xdr:cNvPr id="37967" name="직선 화살표 연결선 37966"/>
        <xdr:cNvCxnSpPr/>
      </xdr:nvCxnSpPr>
      <xdr:spPr>
        <a:xfrm>
          <a:off x="12667706"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42</xdr:row>
      <xdr:rowOff>19050</xdr:rowOff>
    </xdr:from>
    <xdr:to>
      <xdr:col>33</xdr:col>
      <xdr:colOff>62048</xdr:colOff>
      <xdr:row>42</xdr:row>
      <xdr:rowOff>133350</xdr:rowOff>
    </xdr:to>
    <xdr:sp macro="" textlink="">
      <xdr:nvSpPr>
        <xdr:cNvPr id="37968" name="직사각형 37967"/>
        <xdr:cNvSpPr/>
      </xdr:nvSpPr>
      <xdr:spPr>
        <a:xfrm>
          <a:off x="12647023" y="6564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42</xdr:row>
      <xdr:rowOff>76200</xdr:rowOff>
    </xdr:from>
    <xdr:to>
      <xdr:col>33</xdr:col>
      <xdr:colOff>20683</xdr:colOff>
      <xdr:row>42</xdr:row>
      <xdr:rowOff>76200</xdr:rowOff>
    </xdr:to>
    <xdr:cxnSp macro="">
      <xdr:nvCxnSpPr>
        <xdr:cNvPr id="37969" name="직선 화살표 연결선 37968"/>
        <xdr:cNvCxnSpPr/>
      </xdr:nvCxnSpPr>
      <xdr:spPr>
        <a:xfrm>
          <a:off x="12647023"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41</xdr:row>
      <xdr:rowOff>19050</xdr:rowOff>
    </xdr:from>
    <xdr:to>
      <xdr:col>33</xdr:col>
      <xdr:colOff>62048</xdr:colOff>
      <xdr:row>41</xdr:row>
      <xdr:rowOff>133350</xdr:rowOff>
    </xdr:to>
    <xdr:sp macro="" textlink="">
      <xdr:nvSpPr>
        <xdr:cNvPr id="37970" name="직사각형 37969"/>
        <xdr:cNvSpPr/>
      </xdr:nvSpPr>
      <xdr:spPr>
        <a:xfrm>
          <a:off x="12647023" y="6412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41</xdr:row>
      <xdr:rowOff>76200</xdr:rowOff>
    </xdr:from>
    <xdr:to>
      <xdr:col>33</xdr:col>
      <xdr:colOff>20683</xdr:colOff>
      <xdr:row>41</xdr:row>
      <xdr:rowOff>76200</xdr:rowOff>
    </xdr:to>
    <xdr:cxnSp macro="">
      <xdr:nvCxnSpPr>
        <xdr:cNvPr id="37971" name="직선 화살표 연결선 37970"/>
        <xdr:cNvCxnSpPr/>
      </xdr:nvCxnSpPr>
      <xdr:spPr>
        <a:xfrm>
          <a:off x="12647023"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40</xdr:row>
      <xdr:rowOff>19050</xdr:rowOff>
    </xdr:from>
    <xdr:to>
      <xdr:col>34</xdr:col>
      <xdr:colOff>0</xdr:colOff>
      <xdr:row>40</xdr:row>
      <xdr:rowOff>133350</xdr:rowOff>
    </xdr:to>
    <xdr:sp macro="" textlink="">
      <xdr:nvSpPr>
        <xdr:cNvPr id="37972" name="직사각형 37971"/>
        <xdr:cNvSpPr/>
      </xdr:nvSpPr>
      <xdr:spPr>
        <a:xfrm>
          <a:off x="12647023" y="62598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40</xdr:row>
      <xdr:rowOff>76200</xdr:rowOff>
    </xdr:from>
    <xdr:to>
      <xdr:col>33</xdr:col>
      <xdr:colOff>20683</xdr:colOff>
      <xdr:row>40</xdr:row>
      <xdr:rowOff>76200</xdr:rowOff>
    </xdr:to>
    <xdr:cxnSp macro="">
      <xdr:nvCxnSpPr>
        <xdr:cNvPr id="37973" name="직선 화살표 연결선 37972"/>
        <xdr:cNvCxnSpPr/>
      </xdr:nvCxnSpPr>
      <xdr:spPr>
        <a:xfrm>
          <a:off x="12647023"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39</xdr:row>
      <xdr:rowOff>19050</xdr:rowOff>
    </xdr:from>
    <xdr:to>
      <xdr:col>37</xdr:col>
      <xdr:colOff>103414</xdr:colOff>
      <xdr:row>39</xdr:row>
      <xdr:rowOff>133350</xdr:rowOff>
    </xdr:to>
    <xdr:sp macro="" textlink="">
      <xdr:nvSpPr>
        <xdr:cNvPr id="37974" name="직사각형 37973"/>
        <xdr:cNvSpPr/>
      </xdr:nvSpPr>
      <xdr:spPr>
        <a:xfrm>
          <a:off x="12419512" y="6107430"/>
          <a:ext cx="8893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39</xdr:row>
      <xdr:rowOff>76200</xdr:rowOff>
    </xdr:from>
    <xdr:to>
      <xdr:col>32</xdr:col>
      <xdr:colOff>94445</xdr:colOff>
      <xdr:row>39</xdr:row>
      <xdr:rowOff>76200</xdr:rowOff>
    </xdr:to>
    <xdr:cxnSp macro="">
      <xdr:nvCxnSpPr>
        <xdr:cNvPr id="37975" name="직선 화살표 연결선 37974"/>
        <xdr:cNvCxnSpPr/>
      </xdr:nvCxnSpPr>
      <xdr:spPr>
        <a:xfrm>
          <a:off x="12419512" y="6164580"/>
          <a:ext cx="15649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37</xdr:row>
      <xdr:rowOff>19050</xdr:rowOff>
    </xdr:from>
    <xdr:to>
      <xdr:col>37</xdr:col>
      <xdr:colOff>124097</xdr:colOff>
      <xdr:row>37</xdr:row>
      <xdr:rowOff>133350</xdr:rowOff>
    </xdr:to>
    <xdr:sp macro="" textlink="">
      <xdr:nvSpPr>
        <xdr:cNvPr id="37976" name="직사각형 37975"/>
        <xdr:cNvSpPr/>
      </xdr:nvSpPr>
      <xdr:spPr>
        <a:xfrm>
          <a:off x="13226143" y="5802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37</xdr:row>
      <xdr:rowOff>76200</xdr:rowOff>
    </xdr:from>
    <xdr:to>
      <xdr:col>37</xdr:col>
      <xdr:colOff>20683</xdr:colOff>
      <xdr:row>37</xdr:row>
      <xdr:rowOff>76200</xdr:rowOff>
    </xdr:to>
    <xdr:cxnSp macro="">
      <xdr:nvCxnSpPr>
        <xdr:cNvPr id="37977" name="직선 화살표 연결선 37976"/>
        <xdr:cNvCxnSpPr/>
      </xdr:nvCxnSpPr>
      <xdr:spPr>
        <a:xfrm>
          <a:off x="1322614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36</xdr:row>
      <xdr:rowOff>19050</xdr:rowOff>
    </xdr:from>
    <xdr:to>
      <xdr:col>32</xdr:col>
      <xdr:colOff>0</xdr:colOff>
      <xdr:row>36</xdr:row>
      <xdr:rowOff>133350</xdr:rowOff>
    </xdr:to>
    <xdr:sp macro="" textlink="">
      <xdr:nvSpPr>
        <xdr:cNvPr id="37978" name="직사각형 37977"/>
        <xdr:cNvSpPr/>
      </xdr:nvSpPr>
      <xdr:spPr>
        <a:xfrm>
          <a:off x="12419512" y="5650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36</xdr:row>
      <xdr:rowOff>76200</xdr:rowOff>
    </xdr:from>
    <xdr:to>
      <xdr:col>32</xdr:col>
      <xdr:colOff>0</xdr:colOff>
      <xdr:row>36</xdr:row>
      <xdr:rowOff>76200</xdr:rowOff>
    </xdr:to>
    <xdr:cxnSp macro="">
      <xdr:nvCxnSpPr>
        <xdr:cNvPr id="37979" name="직선 화살표 연결선 37978"/>
        <xdr:cNvCxnSpPr/>
      </xdr:nvCxnSpPr>
      <xdr:spPr>
        <a:xfrm>
          <a:off x="12419512" y="5707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35</xdr:row>
      <xdr:rowOff>19050</xdr:rowOff>
    </xdr:from>
    <xdr:to>
      <xdr:col>31</xdr:col>
      <xdr:colOff>124097</xdr:colOff>
      <xdr:row>35</xdr:row>
      <xdr:rowOff>133350</xdr:rowOff>
    </xdr:to>
    <xdr:sp macro="" textlink="">
      <xdr:nvSpPr>
        <xdr:cNvPr id="37980" name="직사각형 37979"/>
        <xdr:cNvSpPr/>
      </xdr:nvSpPr>
      <xdr:spPr>
        <a:xfrm>
          <a:off x="12398828" y="5497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35</xdr:row>
      <xdr:rowOff>76200</xdr:rowOff>
    </xdr:from>
    <xdr:to>
      <xdr:col>31</xdr:col>
      <xdr:colOff>124097</xdr:colOff>
      <xdr:row>35</xdr:row>
      <xdr:rowOff>76200</xdr:rowOff>
    </xdr:to>
    <xdr:cxnSp macro="">
      <xdr:nvCxnSpPr>
        <xdr:cNvPr id="37981" name="직선 화살표 연결선 37980"/>
        <xdr:cNvCxnSpPr/>
      </xdr:nvCxnSpPr>
      <xdr:spPr>
        <a:xfrm>
          <a:off x="12398828" y="55549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34</xdr:row>
      <xdr:rowOff>19050</xdr:rowOff>
    </xdr:from>
    <xdr:to>
      <xdr:col>31</xdr:col>
      <xdr:colOff>82732</xdr:colOff>
      <xdr:row>34</xdr:row>
      <xdr:rowOff>133350</xdr:rowOff>
    </xdr:to>
    <xdr:sp macro="" textlink="">
      <xdr:nvSpPr>
        <xdr:cNvPr id="37982" name="직사각형 37981"/>
        <xdr:cNvSpPr/>
      </xdr:nvSpPr>
      <xdr:spPr>
        <a:xfrm>
          <a:off x="12378146" y="5345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34</xdr:row>
      <xdr:rowOff>76200</xdr:rowOff>
    </xdr:from>
    <xdr:to>
      <xdr:col>31</xdr:col>
      <xdr:colOff>82732</xdr:colOff>
      <xdr:row>34</xdr:row>
      <xdr:rowOff>76200</xdr:rowOff>
    </xdr:to>
    <xdr:cxnSp macro="">
      <xdr:nvCxnSpPr>
        <xdr:cNvPr id="37983" name="직선 화살표 연결선 37982"/>
        <xdr:cNvCxnSpPr/>
      </xdr:nvCxnSpPr>
      <xdr:spPr>
        <a:xfrm>
          <a:off x="12378146" y="5402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33</xdr:row>
      <xdr:rowOff>19050</xdr:rowOff>
    </xdr:from>
    <xdr:to>
      <xdr:col>31</xdr:col>
      <xdr:colOff>41366</xdr:colOff>
      <xdr:row>33</xdr:row>
      <xdr:rowOff>133350</xdr:rowOff>
    </xdr:to>
    <xdr:sp macro="" textlink="">
      <xdr:nvSpPr>
        <xdr:cNvPr id="37984" name="직사각형 37983"/>
        <xdr:cNvSpPr/>
      </xdr:nvSpPr>
      <xdr:spPr>
        <a:xfrm>
          <a:off x="12357463" y="5193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33</xdr:row>
      <xdr:rowOff>76200</xdr:rowOff>
    </xdr:from>
    <xdr:to>
      <xdr:col>31</xdr:col>
      <xdr:colOff>41366</xdr:colOff>
      <xdr:row>33</xdr:row>
      <xdr:rowOff>76200</xdr:rowOff>
    </xdr:to>
    <xdr:cxnSp macro="">
      <xdr:nvCxnSpPr>
        <xdr:cNvPr id="37985" name="직선 화살표 연결선 37984"/>
        <xdr:cNvCxnSpPr/>
      </xdr:nvCxnSpPr>
      <xdr:spPr>
        <a:xfrm>
          <a:off x="12357463" y="5250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32</xdr:row>
      <xdr:rowOff>19050</xdr:rowOff>
    </xdr:from>
    <xdr:to>
      <xdr:col>37</xdr:col>
      <xdr:colOff>124097</xdr:colOff>
      <xdr:row>32</xdr:row>
      <xdr:rowOff>133350</xdr:rowOff>
    </xdr:to>
    <xdr:sp macro="" textlink="">
      <xdr:nvSpPr>
        <xdr:cNvPr id="37986" name="직사각형 37985"/>
        <xdr:cNvSpPr/>
      </xdr:nvSpPr>
      <xdr:spPr>
        <a:xfrm>
          <a:off x="12357463" y="5040630"/>
          <a:ext cx="9720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32</xdr:row>
      <xdr:rowOff>76200</xdr:rowOff>
    </xdr:from>
    <xdr:to>
      <xdr:col>35</xdr:col>
      <xdr:colOff>66480</xdr:colOff>
      <xdr:row>32</xdr:row>
      <xdr:rowOff>76200</xdr:rowOff>
    </xdr:to>
    <xdr:cxnSp macro="">
      <xdr:nvCxnSpPr>
        <xdr:cNvPr id="37987" name="직선 화살표 연결선 37986"/>
        <xdr:cNvCxnSpPr/>
      </xdr:nvCxnSpPr>
      <xdr:spPr>
        <a:xfrm>
          <a:off x="12357463" y="5097780"/>
          <a:ext cx="6249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31</xdr:row>
      <xdr:rowOff>19050</xdr:rowOff>
    </xdr:from>
    <xdr:to>
      <xdr:col>40</xdr:col>
      <xdr:colOff>124098</xdr:colOff>
      <xdr:row>31</xdr:row>
      <xdr:rowOff>133350</xdr:rowOff>
    </xdr:to>
    <xdr:sp macro="" textlink="">
      <xdr:nvSpPr>
        <xdr:cNvPr id="37988" name="직사각형 37987"/>
        <xdr:cNvSpPr/>
      </xdr:nvSpPr>
      <xdr:spPr>
        <a:xfrm>
          <a:off x="12357463" y="4888230"/>
          <a:ext cx="14064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31</xdr:row>
      <xdr:rowOff>76200</xdr:rowOff>
    </xdr:from>
    <xdr:to>
      <xdr:col>33</xdr:col>
      <xdr:colOff>96796</xdr:colOff>
      <xdr:row>31</xdr:row>
      <xdr:rowOff>76200</xdr:rowOff>
    </xdr:to>
    <xdr:cxnSp macro="">
      <xdr:nvCxnSpPr>
        <xdr:cNvPr id="37989" name="직선 화살표 연결선 37988"/>
        <xdr:cNvCxnSpPr/>
      </xdr:nvCxnSpPr>
      <xdr:spPr>
        <a:xfrm>
          <a:off x="12357463" y="4945380"/>
          <a:ext cx="3656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30</xdr:row>
      <xdr:rowOff>19050</xdr:rowOff>
    </xdr:from>
    <xdr:to>
      <xdr:col>40</xdr:col>
      <xdr:colOff>124098</xdr:colOff>
      <xdr:row>30</xdr:row>
      <xdr:rowOff>133350</xdr:rowOff>
    </xdr:to>
    <xdr:sp macro="" textlink="">
      <xdr:nvSpPr>
        <xdr:cNvPr id="37990" name="직사각형 37989"/>
        <xdr:cNvSpPr/>
      </xdr:nvSpPr>
      <xdr:spPr>
        <a:xfrm>
          <a:off x="12357463" y="4735830"/>
          <a:ext cx="14064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30</xdr:row>
      <xdr:rowOff>76200</xdr:rowOff>
    </xdr:from>
    <xdr:to>
      <xdr:col>33</xdr:col>
      <xdr:colOff>96796</xdr:colOff>
      <xdr:row>30</xdr:row>
      <xdr:rowOff>76200</xdr:rowOff>
    </xdr:to>
    <xdr:cxnSp macro="">
      <xdr:nvCxnSpPr>
        <xdr:cNvPr id="37991" name="직선 화살표 연결선 37990"/>
        <xdr:cNvCxnSpPr/>
      </xdr:nvCxnSpPr>
      <xdr:spPr>
        <a:xfrm>
          <a:off x="12357463" y="4792980"/>
          <a:ext cx="3656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28</xdr:row>
      <xdr:rowOff>19050</xdr:rowOff>
    </xdr:from>
    <xdr:to>
      <xdr:col>31</xdr:col>
      <xdr:colOff>124097</xdr:colOff>
      <xdr:row>28</xdr:row>
      <xdr:rowOff>133350</xdr:rowOff>
    </xdr:to>
    <xdr:sp macro="" textlink="">
      <xdr:nvSpPr>
        <xdr:cNvPr id="37992" name="직사각형 37991"/>
        <xdr:cNvSpPr/>
      </xdr:nvSpPr>
      <xdr:spPr>
        <a:xfrm>
          <a:off x="12212683" y="44310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28</xdr:row>
      <xdr:rowOff>76200</xdr:rowOff>
    </xdr:from>
    <xdr:to>
      <xdr:col>31</xdr:col>
      <xdr:colOff>124097</xdr:colOff>
      <xdr:row>28</xdr:row>
      <xdr:rowOff>76200</xdr:rowOff>
    </xdr:to>
    <xdr:cxnSp macro="">
      <xdr:nvCxnSpPr>
        <xdr:cNvPr id="37993" name="직선 화살표 연결선 37992"/>
        <xdr:cNvCxnSpPr/>
      </xdr:nvCxnSpPr>
      <xdr:spPr>
        <a:xfrm>
          <a:off x="12212683" y="44881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27</xdr:row>
      <xdr:rowOff>19050</xdr:rowOff>
    </xdr:from>
    <xdr:to>
      <xdr:col>31</xdr:col>
      <xdr:colOff>41366</xdr:colOff>
      <xdr:row>27</xdr:row>
      <xdr:rowOff>133350</xdr:rowOff>
    </xdr:to>
    <xdr:sp macro="" textlink="">
      <xdr:nvSpPr>
        <xdr:cNvPr id="37994" name="직사각형 37993"/>
        <xdr:cNvSpPr/>
      </xdr:nvSpPr>
      <xdr:spPr>
        <a:xfrm>
          <a:off x="12212683" y="42786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27</xdr:row>
      <xdr:rowOff>76200</xdr:rowOff>
    </xdr:from>
    <xdr:to>
      <xdr:col>31</xdr:col>
      <xdr:colOff>41366</xdr:colOff>
      <xdr:row>27</xdr:row>
      <xdr:rowOff>76200</xdr:rowOff>
    </xdr:to>
    <xdr:cxnSp macro="">
      <xdr:nvCxnSpPr>
        <xdr:cNvPr id="37995" name="직선 화살표 연결선 37994"/>
        <xdr:cNvCxnSpPr/>
      </xdr:nvCxnSpPr>
      <xdr:spPr>
        <a:xfrm>
          <a:off x="12212683" y="43357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26</xdr:row>
      <xdr:rowOff>19050</xdr:rowOff>
    </xdr:from>
    <xdr:to>
      <xdr:col>31</xdr:col>
      <xdr:colOff>124097</xdr:colOff>
      <xdr:row>26</xdr:row>
      <xdr:rowOff>133350</xdr:rowOff>
    </xdr:to>
    <xdr:sp macro="" textlink="">
      <xdr:nvSpPr>
        <xdr:cNvPr id="37996" name="직사각형 37995"/>
        <xdr:cNvSpPr/>
      </xdr:nvSpPr>
      <xdr:spPr>
        <a:xfrm>
          <a:off x="12212683" y="41262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26</xdr:row>
      <xdr:rowOff>76200</xdr:rowOff>
    </xdr:from>
    <xdr:to>
      <xdr:col>31</xdr:col>
      <xdr:colOff>124097</xdr:colOff>
      <xdr:row>26</xdr:row>
      <xdr:rowOff>76200</xdr:rowOff>
    </xdr:to>
    <xdr:cxnSp macro="">
      <xdr:nvCxnSpPr>
        <xdr:cNvPr id="37997" name="직선 화살표 연결선 37996"/>
        <xdr:cNvCxnSpPr/>
      </xdr:nvCxnSpPr>
      <xdr:spPr>
        <a:xfrm>
          <a:off x="12212683" y="41833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25</xdr:row>
      <xdr:rowOff>19050</xdr:rowOff>
    </xdr:from>
    <xdr:to>
      <xdr:col>31</xdr:col>
      <xdr:colOff>103414</xdr:colOff>
      <xdr:row>25</xdr:row>
      <xdr:rowOff>133350</xdr:rowOff>
    </xdr:to>
    <xdr:sp macro="" textlink="">
      <xdr:nvSpPr>
        <xdr:cNvPr id="37998" name="직사각형 37997"/>
        <xdr:cNvSpPr/>
      </xdr:nvSpPr>
      <xdr:spPr>
        <a:xfrm>
          <a:off x="12254049" y="3973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25</xdr:row>
      <xdr:rowOff>76200</xdr:rowOff>
    </xdr:from>
    <xdr:to>
      <xdr:col>31</xdr:col>
      <xdr:colOff>103414</xdr:colOff>
      <xdr:row>25</xdr:row>
      <xdr:rowOff>76200</xdr:rowOff>
    </xdr:to>
    <xdr:cxnSp macro="">
      <xdr:nvCxnSpPr>
        <xdr:cNvPr id="37999" name="직선 화살표 연결선 37998"/>
        <xdr:cNvCxnSpPr/>
      </xdr:nvCxnSpPr>
      <xdr:spPr>
        <a:xfrm>
          <a:off x="12254049" y="40309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24</xdr:row>
      <xdr:rowOff>19050</xdr:rowOff>
    </xdr:from>
    <xdr:to>
      <xdr:col>31</xdr:col>
      <xdr:colOff>103414</xdr:colOff>
      <xdr:row>24</xdr:row>
      <xdr:rowOff>133350</xdr:rowOff>
    </xdr:to>
    <xdr:sp macro="" textlink="">
      <xdr:nvSpPr>
        <xdr:cNvPr id="38000" name="직사각형 37999"/>
        <xdr:cNvSpPr/>
      </xdr:nvSpPr>
      <xdr:spPr>
        <a:xfrm>
          <a:off x="12212683" y="38214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24</xdr:row>
      <xdr:rowOff>76200</xdr:rowOff>
    </xdr:from>
    <xdr:to>
      <xdr:col>31</xdr:col>
      <xdr:colOff>103414</xdr:colOff>
      <xdr:row>24</xdr:row>
      <xdr:rowOff>76200</xdr:rowOff>
    </xdr:to>
    <xdr:cxnSp macro="">
      <xdr:nvCxnSpPr>
        <xdr:cNvPr id="38001" name="직선 화살표 연결선 38000"/>
        <xdr:cNvCxnSpPr/>
      </xdr:nvCxnSpPr>
      <xdr:spPr>
        <a:xfrm>
          <a:off x="12212683" y="3878580"/>
          <a:ext cx="2275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23</xdr:row>
      <xdr:rowOff>19050</xdr:rowOff>
    </xdr:from>
    <xdr:to>
      <xdr:col>31</xdr:col>
      <xdr:colOff>124097</xdr:colOff>
      <xdr:row>23</xdr:row>
      <xdr:rowOff>133350</xdr:rowOff>
    </xdr:to>
    <xdr:sp macro="" textlink="">
      <xdr:nvSpPr>
        <xdr:cNvPr id="38002" name="직사각형 38001"/>
        <xdr:cNvSpPr/>
      </xdr:nvSpPr>
      <xdr:spPr>
        <a:xfrm>
          <a:off x="12212683" y="36690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23</xdr:row>
      <xdr:rowOff>76200</xdr:rowOff>
    </xdr:from>
    <xdr:to>
      <xdr:col>31</xdr:col>
      <xdr:colOff>124097</xdr:colOff>
      <xdr:row>23</xdr:row>
      <xdr:rowOff>76200</xdr:rowOff>
    </xdr:to>
    <xdr:cxnSp macro="">
      <xdr:nvCxnSpPr>
        <xdr:cNvPr id="38003" name="직선 화살표 연결선 38002"/>
        <xdr:cNvCxnSpPr/>
      </xdr:nvCxnSpPr>
      <xdr:spPr>
        <a:xfrm>
          <a:off x="12212683" y="37261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22</xdr:row>
      <xdr:rowOff>19050</xdr:rowOff>
    </xdr:from>
    <xdr:to>
      <xdr:col>31</xdr:col>
      <xdr:colOff>124097</xdr:colOff>
      <xdr:row>22</xdr:row>
      <xdr:rowOff>133350</xdr:rowOff>
    </xdr:to>
    <xdr:sp macro="" textlink="">
      <xdr:nvSpPr>
        <xdr:cNvPr id="38004" name="직사각형 38003"/>
        <xdr:cNvSpPr/>
      </xdr:nvSpPr>
      <xdr:spPr>
        <a:xfrm>
          <a:off x="12212683" y="35166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22</xdr:row>
      <xdr:rowOff>76200</xdr:rowOff>
    </xdr:from>
    <xdr:to>
      <xdr:col>31</xdr:col>
      <xdr:colOff>124097</xdr:colOff>
      <xdr:row>22</xdr:row>
      <xdr:rowOff>76200</xdr:rowOff>
    </xdr:to>
    <xdr:cxnSp macro="">
      <xdr:nvCxnSpPr>
        <xdr:cNvPr id="38005" name="직선 화살표 연결선 38004"/>
        <xdr:cNvCxnSpPr/>
      </xdr:nvCxnSpPr>
      <xdr:spPr>
        <a:xfrm>
          <a:off x="12212683" y="3573780"/>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21</xdr:row>
      <xdr:rowOff>19050</xdr:rowOff>
    </xdr:from>
    <xdr:to>
      <xdr:col>32</xdr:col>
      <xdr:colOff>82731</xdr:colOff>
      <xdr:row>21</xdr:row>
      <xdr:rowOff>133350</xdr:rowOff>
    </xdr:to>
    <xdr:sp macro="" textlink="">
      <xdr:nvSpPr>
        <xdr:cNvPr id="38006" name="직사각형 38005"/>
        <xdr:cNvSpPr/>
      </xdr:nvSpPr>
      <xdr:spPr>
        <a:xfrm>
          <a:off x="12502243" y="3364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21</xdr:row>
      <xdr:rowOff>76200</xdr:rowOff>
    </xdr:from>
    <xdr:to>
      <xdr:col>32</xdr:col>
      <xdr:colOff>82731</xdr:colOff>
      <xdr:row>21</xdr:row>
      <xdr:rowOff>76200</xdr:rowOff>
    </xdr:to>
    <xdr:cxnSp macro="">
      <xdr:nvCxnSpPr>
        <xdr:cNvPr id="38007" name="직선 화살표 연결선 38006"/>
        <xdr:cNvCxnSpPr/>
      </xdr:nvCxnSpPr>
      <xdr:spPr>
        <a:xfrm>
          <a:off x="12502243" y="3421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20</xdr:row>
      <xdr:rowOff>19050</xdr:rowOff>
    </xdr:from>
    <xdr:to>
      <xdr:col>32</xdr:col>
      <xdr:colOff>82731</xdr:colOff>
      <xdr:row>20</xdr:row>
      <xdr:rowOff>133350</xdr:rowOff>
    </xdr:to>
    <xdr:sp macro="" textlink="">
      <xdr:nvSpPr>
        <xdr:cNvPr id="38008" name="직사각형 38007"/>
        <xdr:cNvSpPr/>
      </xdr:nvSpPr>
      <xdr:spPr>
        <a:xfrm>
          <a:off x="12502243" y="3211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20</xdr:row>
      <xdr:rowOff>76200</xdr:rowOff>
    </xdr:from>
    <xdr:to>
      <xdr:col>32</xdr:col>
      <xdr:colOff>82731</xdr:colOff>
      <xdr:row>20</xdr:row>
      <xdr:rowOff>76200</xdr:rowOff>
    </xdr:to>
    <xdr:cxnSp macro="">
      <xdr:nvCxnSpPr>
        <xdr:cNvPr id="38009" name="직선 화살표 연결선 38008"/>
        <xdr:cNvCxnSpPr/>
      </xdr:nvCxnSpPr>
      <xdr:spPr>
        <a:xfrm>
          <a:off x="12502243" y="3268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19</xdr:row>
      <xdr:rowOff>19050</xdr:rowOff>
    </xdr:from>
    <xdr:to>
      <xdr:col>32</xdr:col>
      <xdr:colOff>82731</xdr:colOff>
      <xdr:row>19</xdr:row>
      <xdr:rowOff>133350</xdr:rowOff>
    </xdr:to>
    <xdr:sp macro="" textlink="">
      <xdr:nvSpPr>
        <xdr:cNvPr id="38010" name="직사각형 38009"/>
        <xdr:cNvSpPr/>
      </xdr:nvSpPr>
      <xdr:spPr>
        <a:xfrm>
          <a:off x="12502243" y="30594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19</xdr:row>
      <xdr:rowOff>76200</xdr:rowOff>
    </xdr:from>
    <xdr:to>
      <xdr:col>32</xdr:col>
      <xdr:colOff>82731</xdr:colOff>
      <xdr:row>19</xdr:row>
      <xdr:rowOff>76200</xdr:rowOff>
    </xdr:to>
    <xdr:cxnSp macro="">
      <xdr:nvCxnSpPr>
        <xdr:cNvPr id="38011" name="직선 화살표 연결선 38010"/>
        <xdr:cNvCxnSpPr/>
      </xdr:nvCxnSpPr>
      <xdr:spPr>
        <a:xfrm>
          <a:off x="12502243" y="3116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18</xdr:row>
      <xdr:rowOff>19050</xdr:rowOff>
    </xdr:from>
    <xdr:to>
      <xdr:col>31</xdr:col>
      <xdr:colOff>124097</xdr:colOff>
      <xdr:row>18</xdr:row>
      <xdr:rowOff>133350</xdr:rowOff>
    </xdr:to>
    <xdr:sp macro="" textlink="">
      <xdr:nvSpPr>
        <xdr:cNvPr id="38012" name="직사각형 38011"/>
        <xdr:cNvSpPr/>
      </xdr:nvSpPr>
      <xdr:spPr>
        <a:xfrm>
          <a:off x="12067903" y="29070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18</xdr:row>
      <xdr:rowOff>76200</xdr:rowOff>
    </xdr:from>
    <xdr:to>
      <xdr:col>31</xdr:col>
      <xdr:colOff>124097</xdr:colOff>
      <xdr:row>18</xdr:row>
      <xdr:rowOff>76200</xdr:rowOff>
    </xdr:to>
    <xdr:cxnSp macro="">
      <xdr:nvCxnSpPr>
        <xdr:cNvPr id="38013" name="직선 화살표 연결선 38012"/>
        <xdr:cNvCxnSpPr/>
      </xdr:nvCxnSpPr>
      <xdr:spPr>
        <a:xfrm>
          <a:off x="12067903" y="29641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17</xdr:row>
      <xdr:rowOff>19050</xdr:rowOff>
    </xdr:from>
    <xdr:to>
      <xdr:col>29</xdr:col>
      <xdr:colOff>82731</xdr:colOff>
      <xdr:row>17</xdr:row>
      <xdr:rowOff>133350</xdr:rowOff>
    </xdr:to>
    <xdr:sp macro="" textlink="">
      <xdr:nvSpPr>
        <xdr:cNvPr id="38014" name="직사각형 38013"/>
        <xdr:cNvSpPr/>
      </xdr:nvSpPr>
      <xdr:spPr>
        <a:xfrm>
          <a:off x="12067903" y="275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17</xdr:row>
      <xdr:rowOff>76200</xdr:rowOff>
    </xdr:from>
    <xdr:to>
      <xdr:col>29</xdr:col>
      <xdr:colOff>82731</xdr:colOff>
      <xdr:row>17</xdr:row>
      <xdr:rowOff>76200</xdr:rowOff>
    </xdr:to>
    <xdr:cxnSp macro="">
      <xdr:nvCxnSpPr>
        <xdr:cNvPr id="38015" name="직선 화살표 연결선 38014"/>
        <xdr:cNvCxnSpPr/>
      </xdr:nvCxnSpPr>
      <xdr:spPr>
        <a:xfrm>
          <a:off x="12067903" y="2811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16</xdr:row>
      <xdr:rowOff>19050</xdr:rowOff>
    </xdr:from>
    <xdr:to>
      <xdr:col>32</xdr:col>
      <xdr:colOff>82731</xdr:colOff>
      <xdr:row>16</xdr:row>
      <xdr:rowOff>133350</xdr:rowOff>
    </xdr:to>
    <xdr:sp macro="" textlink="">
      <xdr:nvSpPr>
        <xdr:cNvPr id="38016" name="직사각형 38015"/>
        <xdr:cNvSpPr/>
      </xdr:nvSpPr>
      <xdr:spPr>
        <a:xfrm>
          <a:off x="12067903" y="2602230"/>
          <a:ext cx="4963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16</xdr:row>
      <xdr:rowOff>76200</xdr:rowOff>
    </xdr:from>
    <xdr:to>
      <xdr:col>32</xdr:col>
      <xdr:colOff>82731</xdr:colOff>
      <xdr:row>16</xdr:row>
      <xdr:rowOff>76200</xdr:rowOff>
    </xdr:to>
    <xdr:cxnSp macro="">
      <xdr:nvCxnSpPr>
        <xdr:cNvPr id="38017" name="직선 화살표 연결선 38016"/>
        <xdr:cNvCxnSpPr/>
      </xdr:nvCxnSpPr>
      <xdr:spPr>
        <a:xfrm>
          <a:off x="12067903" y="2659380"/>
          <a:ext cx="4963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15</xdr:row>
      <xdr:rowOff>19050</xdr:rowOff>
    </xdr:from>
    <xdr:to>
      <xdr:col>40</xdr:col>
      <xdr:colOff>124098</xdr:colOff>
      <xdr:row>15</xdr:row>
      <xdr:rowOff>133350</xdr:rowOff>
    </xdr:to>
    <xdr:sp macro="" textlink="">
      <xdr:nvSpPr>
        <xdr:cNvPr id="38018" name="직사각형 38017"/>
        <xdr:cNvSpPr/>
      </xdr:nvSpPr>
      <xdr:spPr>
        <a:xfrm>
          <a:off x="12067903" y="2449830"/>
          <a:ext cx="16959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15</xdr:row>
      <xdr:rowOff>76200</xdr:rowOff>
    </xdr:from>
    <xdr:to>
      <xdr:col>34</xdr:col>
      <xdr:colOff>58609</xdr:colOff>
      <xdr:row>15</xdr:row>
      <xdr:rowOff>76200</xdr:rowOff>
    </xdr:to>
    <xdr:cxnSp macro="">
      <xdr:nvCxnSpPr>
        <xdr:cNvPr id="38019" name="직선 화살표 연결선 38018"/>
        <xdr:cNvCxnSpPr/>
      </xdr:nvCxnSpPr>
      <xdr:spPr>
        <a:xfrm>
          <a:off x="12067903" y="2506980"/>
          <a:ext cx="7618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62049</xdr:colOff>
      <xdr:row>13</xdr:row>
      <xdr:rowOff>19050</xdr:rowOff>
    </xdr:from>
    <xdr:to>
      <xdr:col>46</xdr:col>
      <xdr:colOff>82732</xdr:colOff>
      <xdr:row>13</xdr:row>
      <xdr:rowOff>133350</xdr:rowOff>
    </xdr:to>
    <xdr:sp macro="" textlink="">
      <xdr:nvSpPr>
        <xdr:cNvPr id="38020" name="직사각형 38019"/>
        <xdr:cNvSpPr/>
      </xdr:nvSpPr>
      <xdr:spPr>
        <a:xfrm>
          <a:off x="14570529" y="2145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62049</xdr:colOff>
      <xdr:row>13</xdr:row>
      <xdr:rowOff>76200</xdr:rowOff>
    </xdr:from>
    <xdr:to>
      <xdr:col>46</xdr:col>
      <xdr:colOff>62049</xdr:colOff>
      <xdr:row>13</xdr:row>
      <xdr:rowOff>76200</xdr:rowOff>
    </xdr:to>
    <xdr:cxnSp macro="">
      <xdr:nvCxnSpPr>
        <xdr:cNvPr id="38021" name="직선 화살표 연결선 38020"/>
        <xdr:cNvCxnSpPr/>
      </xdr:nvCxnSpPr>
      <xdr:spPr>
        <a:xfrm>
          <a:off x="14570529"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62049</xdr:colOff>
      <xdr:row>12</xdr:row>
      <xdr:rowOff>19050</xdr:rowOff>
    </xdr:from>
    <xdr:to>
      <xdr:col>46</xdr:col>
      <xdr:colOff>82732</xdr:colOff>
      <xdr:row>12</xdr:row>
      <xdr:rowOff>133350</xdr:rowOff>
    </xdr:to>
    <xdr:sp macro="" textlink="">
      <xdr:nvSpPr>
        <xdr:cNvPr id="38022" name="직사각형 38021"/>
        <xdr:cNvSpPr/>
      </xdr:nvSpPr>
      <xdr:spPr>
        <a:xfrm>
          <a:off x="14570529" y="199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62049</xdr:colOff>
      <xdr:row>12</xdr:row>
      <xdr:rowOff>76200</xdr:rowOff>
    </xdr:from>
    <xdr:to>
      <xdr:col>46</xdr:col>
      <xdr:colOff>62049</xdr:colOff>
      <xdr:row>12</xdr:row>
      <xdr:rowOff>76200</xdr:rowOff>
    </xdr:to>
    <xdr:cxnSp macro="">
      <xdr:nvCxnSpPr>
        <xdr:cNvPr id="38023" name="직선 화살표 연결선 38022"/>
        <xdr:cNvCxnSpPr/>
      </xdr:nvCxnSpPr>
      <xdr:spPr>
        <a:xfrm>
          <a:off x="14570529"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82731</xdr:colOff>
      <xdr:row>11</xdr:row>
      <xdr:rowOff>19050</xdr:rowOff>
    </xdr:from>
    <xdr:to>
      <xdr:col>46</xdr:col>
      <xdr:colOff>62049</xdr:colOff>
      <xdr:row>11</xdr:row>
      <xdr:rowOff>133350</xdr:rowOff>
    </xdr:to>
    <xdr:sp macro="" textlink="">
      <xdr:nvSpPr>
        <xdr:cNvPr id="38024" name="직사각형 38023"/>
        <xdr:cNvSpPr/>
      </xdr:nvSpPr>
      <xdr:spPr>
        <a:xfrm>
          <a:off x="14446431" y="1840230"/>
          <a:ext cx="124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82731</xdr:colOff>
      <xdr:row>11</xdr:row>
      <xdr:rowOff>76200</xdr:rowOff>
    </xdr:from>
    <xdr:to>
      <xdr:col>45</xdr:col>
      <xdr:colOff>82731</xdr:colOff>
      <xdr:row>11</xdr:row>
      <xdr:rowOff>76200</xdr:rowOff>
    </xdr:to>
    <xdr:cxnSp macro="">
      <xdr:nvCxnSpPr>
        <xdr:cNvPr id="38025" name="직선 화살표 연결선 38024"/>
        <xdr:cNvCxnSpPr/>
      </xdr:nvCxnSpPr>
      <xdr:spPr>
        <a:xfrm>
          <a:off x="14446431"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82731</xdr:colOff>
      <xdr:row>10</xdr:row>
      <xdr:rowOff>19050</xdr:rowOff>
    </xdr:from>
    <xdr:to>
      <xdr:col>46</xdr:col>
      <xdr:colOff>82732</xdr:colOff>
      <xdr:row>10</xdr:row>
      <xdr:rowOff>133350</xdr:rowOff>
    </xdr:to>
    <xdr:sp macro="" textlink="">
      <xdr:nvSpPr>
        <xdr:cNvPr id="38026" name="직사각형 38025"/>
        <xdr:cNvSpPr/>
      </xdr:nvSpPr>
      <xdr:spPr>
        <a:xfrm>
          <a:off x="14446431" y="1687830"/>
          <a:ext cx="144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82731</xdr:colOff>
      <xdr:row>10</xdr:row>
      <xdr:rowOff>76200</xdr:rowOff>
    </xdr:from>
    <xdr:to>
      <xdr:col>45</xdr:col>
      <xdr:colOff>82731</xdr:colOff>
      <xdr:row>10</xdr:row>
      <xdr:rowOff>76200</xdr:rowOff>
    </xdr:to>
    <xdr:cxnSp macro="">
      <xdr:nvCxnSpPr>
        <xdr:cNvPr id="38027" name="직선 화살표 연결선 38026"/>
        <xdr:cNvCxnSpPr/>
      </xdr:nvCxnSpPr>
      <xdr:spPr>
        <a:xfrm>
          <a:off x="14446431"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8</xdr:row>
      <xdr:rowOff>19050</xdr:rowOff>
    </xdr:from>
    <xdr:to>
      <xdr:col>30</xdr:col>
      <xdr:colOff>124097</xdr:colOff>
      <xdr:row>8</xdr:row>
      <xdr:rowOff>133350</xdr:rowOff>
    </xdr:to>
    <xdr:sp macro="" textlink="">
      <xdr:nvSpPr>
        <xdr:cNvPr id="38028" name="직사각형 38027"/>
        <xdr:cNvSpPr/>
      </xdr:nvSpPr>
      <xdr:spPr>
        <a:xfrm>
          <a:off x="11923123" y="13830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8</xdr:row>
      <xdr:rowOff>76200</xdr:rowOff>
    </xdr:from>
    <xdr:to>
      <xdr:col>30</xdr:col>
      <xdr:colOff>124097</xdr:colOff>
      <xdr:row>8</xdr:row>
      <xdr:rowOff>76200</xdr:rowOff>
    </xdr:to>
    <xdr:cxnSp macro="">
      <xdr:nvCxnSpPr>
        <xdr:cNvPr id="38029" name="직선 화살표 연결선 38028"/>
        <xdr:cNvCxnSpPr/>
      </xdr:nvCxnSpPr>
      <xdr:spPr>
        <a:xfrm>
          <a:off x="11923123" y="14401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7</xdr:row>
      <xdr:rowOff>19050</xdr:rowOff>
    </xdr:from>
    <xdr:to>
      <xdr:col>30</xdr:col>
      <xdr:colOff>124097</xdr:colOff>
      <xdr:row>7</xdr:row>
      <xdr:rowOff>133350</xdr:rowOff>
    </xdr:to>
    <xdr:sp macro="" textlink="">
      <xdr:nvSpPr>
        <xdr:cNvPr id="38030" name="직사각형 38029"/>
        <xdr:cNvSpPr/>
      </xdr:nvSpPr>
      <xdr:spPr>
        <a:xfrm>
          <a:off x="11923123" y="12306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7</xdr:row>
      <xdr:rowOff>76200</xdr:rowOff>
    </xdr:from>
    <xdr:to>
      <xdr:col>30</xdr:col>
      <xdr:colOff>124097</xdr:colOff>
      <xdr:row>7</xdr:row>
      <xdr:rowOff>76200</xdr:rowOff>
    </xdr:to>
    <xdr:cxnSp macro="">
      <xdr:nvCxnSpPr>
        <xdr:cNvPr id="38031" name="직선 화살표 연결선 38030"/>
        <xdr:cNvCxnSpPr/>
      </xdr:nvCxnSpPr>
      <xdr:spPr>
        <a:xfrm>
          <a:off x="11923123" y="12877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6</xdr:row>
      <xdr:rowOff>19050</xdr:rowOff>
    </xdr:from>
    <xdr:to>
      <xdr:col>28</xdr:col>
      <xdr:colOff>41366</xdr:colOff>
      <xdr:row>6</xdr:row>
      <xdr:rowOff>133350</xdr:rowOff>
    </xdr:to>
    <xdr:sp macro="" textlink="">
      <xdr:nvSpPr>
        <xdr:cNvPr id="38032" name="직사각형 38031"/>
        <xdr:cNvSpPr/>
      </xdr:nvSpPr>
      <xdr:spPr>
        <a:xfrm>
          <a:off x="11923123" y="107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6</xdr:row>
      <xdr:rowOff>76200</xdr:rowOff>
    </xdr:from>
    <xdr:to>
      <xdr:col>28</xdr:col>
      <xdr:colOff>41366</xdr:colOff>
      <xdr:row>6</xdr:row>
      <xdr:rowOff>76200</xdr:rowOff>
    </xdr:to>
    <xdr:cxnSp macro="">
      <xdr:nvCxnSpPr>
        <xdr:cNvPr id="38033" name="직선 화살표 연결선 38032"/>
        <xdr:cNvCxnSpPr/>
      </xdr:nvCxnSpPr>
      <xdr:spPr>
        <a:xfrm>
          <a:off x="11923123"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30</xdr:col>
      <xdr:colOff>124097</xdr:colOff>
      <xdr:row>5</xdr:row>
      <xdr:rowOff>133350</xdr:rowOff>
    </xdr:to>
    <xdr:sp macro="" textlink="">
      <xdr:nvSpPr>
        <xdr:cNvPr id="38034" name="직사각형 38033"/>
        <xdr:cNvSpPr/>
      </xdr:nvSpPr>
      <xdr:spPr>
        <a:xfrm>
          <a:off x="11923123" y="9258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30</xdr:col>
      <xdr:colOff>124097</xdr:colOff>
      <xdr:row>5</xdr:row>
      <xdr:rowOff>76200</xdr:rowOff>
    </xdr:to>
    <xdr:cxnSp macro="">
      <xdr:nvCxnSpPr>
        <xdr:cNvPr id="38035" name="직선 화살표 연결선 38034"/>
        <xdr:cNvCxnSpPr/>
      </xdr:nvCxnSpPr>
      <xdr:spPr>
        <a:xfrm>
          <a:off x="11923123" y="9829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46</xdr:col>
      <xdr:colOff>82732</xdr:colOff>
      <xdr:row>4</xdr:row>
      <xdr:rowOff>133350</xdr:rowOff>
    </xdr:to>
    <xdr:sp macro="" textlink="">
      <xdr:nvSpPr>
        <xdr:cNvPr id="38036" name="직사각형 38035"/>
        <xdr:cNvSpPr/>
      </xdr:nvSpPr>
      <xdr:spPr>
        <a:xfrm>
          <a:off x="11923123" y="773430"/>
          <a:ext cx="26680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41</xdr:col>
      <xdr:colOff>16086</xdr:colOff>
      <xdr:row>4</xdr:row>
      <xdr:rowOff>76200</xdr:rowOff>
    </xdr:to>
    <xdr:cxnSp macro="">
      <xdr:nvCxnSpPr>
        <xdr:cNvPr id="38037" name="직선 화살표 연결선 38036"/>
        <xdr:cNvCxnSpPr/>
      </xdr:nvCxnSpPr>
      <xdr:spPr>
        <a:xfrm>
          <a:off x="11923123" y="830580"/>
          <a:ext cx="18775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992</v>
      </c>
      <c r="C8" s="101" t="s">
        <v>1401</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1122</v>
      </c>
      <c r="D11" s="99" t="s">
        <v>26</v>
      </c>
      <c r="E11" s="108">
        <v>1</v>
      </c>
      <c r="F11" s="109" t="s">
        <v>27</v>
      </c>
      <c r="G11" s="110">
        <v>43514</v>
      </c>
      <c r="H11" s="109" t="s">
        <v>28</v>
      </c>
      <c r="I11" s="110">
        <v>43642</v>
      </c>
      <c r="J11" s="102" t="s">
        <v>418</v>
      </c>
      <c r="K11" s="102" t="s">
        <v>1402</v>
      </c>
      <c r="L11" s="102" t="s">
        <v>415</v>
      </c>
      <c r="M11" s="102">
        <v>1</v>
      </c>
      <c r="N11" s="107" t="s">
        <v>29</v>
      </c>
      <c r="O11" s="99">
        <v>0</v>
      </c>
      <c r="P11" s="99" t="s">
        <v>30</v>
      </c>
      <c r="Q11" s="107" t="s">
        <v>1115</v>
      </c>
      <c r="R11" s="102" t="s">
        <v>420</v>
      </c>
      <c r="S11" s="102">
        <v>1</v>
      </c>
      <c r="T11" s="102" t="s">
        <v>425</v>
      </c>
      <c r="U11" s="102">
        <v>1</v>
      </c>
      <c r="V11" s="102" t="s">
        <v>426</v>
      </c>
      <c r="W11" s="102">
        <v>0</v>
      </c>
      <c r="X11" s="102" t="s">
        <v>430</v>
      </c>
      <c r="Y11" s="102">
        <v>3</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988</v>
      </c>
      <c r="AE12" s="102">
        <v>1</v>
      </c>
    </row>
    <row r="13" spans="1:64">
      <c r="A13" s="101" t="s">
        <v>402</v>
      </c>
      <c r="B13" s="107" t="s">
        <v>31</v>
      </c>
      <c r="C13" s="99">
        <v>1</v>
      </c>
      <c r="D13" s="107" t="s">
        <v>32</v>
      </c>
      <c r="E13" s="99" t="s">
        <v>1189</v>
      </c>
      <c r="F13" s="99" t="s">
        <v>33</v>
      </c>
      <c r="G13" s="109" t="s">
        <v>1190</v>
      </c>
      <c r="H13" s="109" t="s">
        <v>34</v>
      </c>
      <c r="I13" s="102" t="s">
        <v>1054</v>
      </c>
    </row>
    <row r="14" spans="1:64">
      <c r="A14" s="101" t="s">
        <v>403</v>
      </c>
      <c r="B14" s="108" t="s">
        <v>35</v>
      </c>
      <c r="C14" s="108" t="s">
        <v>1191</v>
      </c>
      <c r="D14" s="108" t="s">
        <v>36</v>
      </c>
      <c r="E14" s="108" t="s">
        <v>1192</v>
      </c>
      <c r="F14" s="108" t="s">
        <v>37</v>
      </c>
      <c r="G14" s="108" t="s">
        <v>1193</v>
      </c>
      <c r="H14" s="108" t="s">
        <v>38</v>
      </c>
      <c r="I14" s="108" t="b">
        <v>0</v>
      </c>
      <c r="J14" s="108" t="s">
        <v>39</v>
      </c>
      <c r="K14" s="108" t="s">
        <v>1194</v>
      </c>
      <c r="L14" s="108" t="s">
        <v>40</v>
      </c>
      <c r="M14" s="108" t="s">
        <v>1195</v>
      </c>
      <c r="N14" s="108" t="s">
        <v>41</v>
      </c>
      <c r="O14" s="108" t="s">
        <v>1193</v>
      </c>
      <c r="P14" s="108" t="s">
        <v>42</v>
      </c>
      <c r="Q14" s="108" t="b">
        <v>0</v>
      </c>
      <c r="R14" s="108" t="s">
        <v>43</v>
      </c>
      <c r="S14" s="108" t="s">
        <v>1196</v>
      </c>
      <c r="T14" s="108" t="s">
        <v>44</v>
      </c>
      <c r="U14" s="108" t="s">
        <v>1197</v>
      </c>
      <c r="V14" s="108" t="s">
        <v>45</v>
      </c>
      <c r="W14" s="108" t="s">
        <v>1193</v>
      </c>
      <c r="X14" s="108" t="s">
        <v>46</v>
      </c>
      <c r="Y14" s="108" t="b">
        <v>1</v>
      </c>
      <c r="Z14" s="108" t="s">
        <v>47</v>
      </c>
      <c r="AA14" s="108" t="s">
        <v>1198</v>
      </c>
      <c r="AB14" s="108" t="s">
        <v>48</v>
      </c>
      <c r="AC14" s="108" t="s">
        <v>1199</v>
      </c>
      <c r="AD14" s="108" t="s">
        <v>49</v>
      </c>
      <c r="AE14" s="108" t="s">
        <v>1200</v>
      </c>
      <c r="AF14" s="108" t="s">
        <v>50</v>
      </c>
      <c r="AG14" s="108" t="b">
        <v>1</v>
      </c>
      <c r="AH14" s="108" t="s">
        <v>51</v>
      </c>
      <c r="AI14" s="108" t="s">
        <v>1201</v>
      </c>
      <c r="AJ14" s="108" t="s">
        <v>52</v>
      </c>
      <c r="AK14" s="108" t="s">
        <v>1202</v>
      </c>
      <c r="AL14" s="108" t="s">
        <v>53</v>
      </c>
      <c r="AM14" s="108" t="s">
        <v>1203</v>
      </c>
      <c r="AN14" s="108" t="s">
        <v>54</v>
      </c>
      <c r="AO14" s="108" t="b">
        <v>0</v>
      </c>
      <c r="AP14" s="108" t="s">
        <v>55</v>
      </c>
      <c r="AQ14" s="108" t="s">
        <v>1204</v>
      </c>
      <c r="AR14" s="108" t="s">
        <v>56</v>
      </c>
      <c r="AS14" s="108" t="s">
        <v>1205</v>
      </c>
      <c r="AT14" s="108" t="s">
        <v>57</v>
      </c>
      <c r="AU14" s="108" t="s">
        <v>1206</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1208</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934</v>
      </c>
      <c r="B1" s="124" t="s">
        <v>935</v>
      </c>
      <c r="C1" s="125" t="s">
        <v>936</v>
      </c>
      <c r="D1" s="125" t="s">
        <v>67</v>
      </c>
      <c r="E1" s="125" t="s">
        <v>68</v>
      </c>
    </row>
    <row r="2" spans="1:5" ht="79.2">
      <c r="A2" s="126" t="s">
        <v>1207</v>
      </c>
      <c r="B2" s="139">
        <v>1</v>
      </c>
      <c r="D2" s="127" t="s">
        <v>937</v>
      </c>
      <c r="E2" s="140" t="s">
        <v>611</v>
      </c>
    </row>
    <row r="3" spans="1:5" ht="112.5" customHeight="1">
      <c r="A3" s="128">
        <v>450</v>
      </c>
      <c r="B3" s="139">
        <v>2</v>
      </c>
      <c r="D3" s="127" t="s">
        <v>537</v>
      </c>
      <c r="E3" s="140" t="s">
        <v>938</v>
      </c>
    </row>
    <row r="4" spans="1:5" ht="52.8">
      <c r="B4" s="139">
        <v>3</v>
      </c>
      <c r="D4" s="127" t="s">
        <v>939</v>
      </c>
      <c r="E4" s="140" t="s">
        <v>612</v>
      </c>
    </row>
    <row r="5" spans="1:5" ht="52.8">
      <c r="B5" s="139">
        <v>4</v>
      </c>
      <c r="D5" s="127" t="s">
        <v>940</v>
      </c>
      <c r="E5" s="140" t="s">
        <v>613</v>
      </c>
    </row>
    <row r="6" spans="1:5" ht="52.8">
      <c r="B6" s="139">
        <v>5</v>
      </c>
      <c r="D6" s="127" t="s">
        <v>941</v>
      </c>
      <c r="E6" s="140" t="s">
        <v>614</v>
      </c>
    </row>
    <row r="7" spans="1:5" ht="39.6">
      <c r="B7" s="139">
        <v>6</v>
      </c>
      <c r="D7" s="127" t="s">
        <v>942</v>
      </c>
      <c r="E7" s="140" t="s">
        <v>615</v>
      </c>
    </row>
    <row r="8" spans="1:5">
      <c r="B8" s="139">
        <v>7</v>
      </c>
      <c r="D8" s="127" t="s">
        <v>928</v>
      </c>
      <c r="E8" s="140" t="s">
        <v>943</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944</v>
      </c>
      <c r="D20" s="128" t="s">
        <v>945</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946</v>
      </c>
      <c r="D46" s="127" t="s">
        <v>947</v>
      </c>
      <c r="E46" s="166" t="s">
        <v>948</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949</v>
      </c>
      <c r="E61" s="128" t="s">
        <v>950</v>
      </c>
      <c r="F61" s="130"/>
    </row>
    <row r="62" spans="1:6" ht="14.4">
      <c r="B62" s="139">
        <v>154</v>
      </c>
      <c r="D62" s="127" t="s">
        <v>104</v>
      </c>
      <c r="E62" s="168" t="s">
        <v>932</v>
      </c>
    </row>
    <row r="63" spans="1:6" ht="14.4">
      <c r="B63" s="139">
        <v>155</v>
      </c>
      <c r="D63" s="127" t="s">
        <v>105</v>
      </c>
      <c r="E63" s="168" t="s">
        <v>951</v>
      </c>
    </row>
    <row r="64" spans="1:6">
      <c r="A64" s="131"/>
      <c r="B64" s="139">
        <v>156</v>
      </c>
      <c r="C64" s="138" t="s">
        <v>952</v>
      </c>
      <c r="D64" s="128" t="s">
        <v>953</v>
      </c>
      <c r="E64" s="128" t="s">
        <v>954</v>
      </c>
      <c r="F64" s="130"/>
    </row>
    <row r="65" spans="1:6">
      <c r="A65" s="131"/>
      <c r="B65" s="139">
        <v>157</v>
      </c>
      <c r="C65" s="138" t="s">
        <v>532</v>
      </c>
      <c r="D65" s="128" t="s">
        <v>955</v>
      </c>
      <c r="E65" s="128" t="s">
        <v>956</v>
      </c>
      <c r="F65" s="130"/>
    </row>
    <row r="66" spans="1:6">
      <c r="A66" s="131"/>
      <c r="B66" s="139">
        <v>158</v>
      </c>
      <c r="C66" s="138" t="s">
        <v>532</v>
      </c>
      <c r="D66" s="128" t="s">
        <v>957</v>
      </c>
      <c r="E66" s="128" t="s">
        <v>958</v>
      </c>
      <c r="F66" s="130"/>
    </row>
    <row r="67" spans="1:6">
      <c r="A67" s="131"/>
      <c r="B67" s="139">
        <v>159</v>
      </c>
      <c r="C67" s="138" t="s">
        <v>952</v>
      </c>
      <c r="D67" s="128" t="s">
        <v>929</v>
      </c>
      <c r="E67" s="128" t="s">
        <v>959</v>
      </c>
      <c r="F67" s="130"/>
    </row>
    <row r="68" spans="1:6">
      <c r="B68" s="139">
        <v>160</v>
      </c>
      <c r="D68" s="127" t="s">
        <v>106</v>
      </c>
      <c r="E68" s="140" t="s">
        <v>960</v>
      </c>
    </row>
    <row r="69" spans="1:6">
      <c r="B69" s="139">
        <v>161</v>
      </c>
      <c r="D69" s="127" t="s">
        <v>107</v>
      </c>
      <c r="E69" s="140" t="s">
        <v>961</v>
      </c>
    </row>
    <row r="70" spans="1:6">
      <c r="B70" s="139">
        <v>162</v>
      </c>
      <c r="D70" s="127" t="s">
        <v>962</v>
      </c>
      <c r="E70" s="140" t="s">
        <v>930</v>
      </c>
    </row>
    <row r="71" spans="1:6">
      <c r="B71" s="139">
        <v>163</v>
      </c>
      <c r="D71" s="127" t="s">
        <v>108</v>
      </c>
      <c r="E71" s="140" t="s">
        <v>963</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964</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1085</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965</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966</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967</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968</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969</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970</v>
      </c>
    </row>
    <row r="210" spans="2:5">
      <c r="B210" s="139">
        <v>302</v>
      </c>
      <c r="D210" s="127" t="s">
        <v>504</v>
      </c>
      <c r="E210" s="140" t="s">
        <v>971</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946</v>
      </c>
      <c r="D221" s="127" t="s">
        <v>972</v>
      </c>
      <c r="E221" s="166" t="s">
        <v>973</v>
      </c>
    </row>
    <row r="222" spans="2:5">
      <c r="B222" s="139">
        <v>314</v>
      </c>
      <c r="D222" s="127" t="s">
        <v>211</v>
      </c>
      <c r="E222" s="140" t="s">
        <v>974</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975</v>
      </c>
      <c r="E232" s="128" t="s">
        <v>540</v>
      </c>
      <c r="F232" s="130"/>
    </row>
    <row r="233" spans="1:6">
      <c r="A233" s="129"/>
      <c r="B233" s="139">
        <v>325</v>
      </c>
      <c r="C233" s="138" t="s">
        <v>532</v>
      </c>
      <c r="D233" s="128" t="s">
        <v>976</v>
      </c>
      <c r="E233" s="128" t="s">
        <v>925</v>
      </c>
      <c r="F233" s="130"/>
    </row>
    <row r="234" spans="1:6">
      <c r="A234" s="129"/>
      <c r="B234" s="139">
        <v>326</v>
      </c>
      <c r="C234" s="138" t="s">
        <v>944</v>
      </c>
      <c r="D234" s="128" t="s">
        <v>977</v>
      </c>
      <c r="E234" s="128" t="s">
        <v>978</v>
      </c>
      <c r="F234" s="130"/>
    </row>
    <row r="235" spans="1:6">
      <c r="B235" s="139">
        <v>327</v>
      </c>
      <c r="D235" s="127" t="s">
        <v>220</v>
      </c>
      <c r="E235" s="140" t="s">
        <v>584</v>
      </c>
    </row>
    <row r="236" spans="1:6" ht="14.4">
      <c r="B236" s="139">
        <v>328</v>
      </c>
      <c r="D236" s="127" t="s">
        <v>221</v>
      </c>
      <c r="E236" s="168" t="s">
        <v>931</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979</v>
      </c>
      <c r="E260" s="167" t="s">
        <v>980</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981</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946</v>
      </c>
      <c r="D336" s="134" t="s">
        <v>982</v>
      </c>
      <c r="E336" s="134" t="s">
        <v>983</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926</v>
      </c>
      <c r="E374" s="128" t="s">
        <v>984</v>
      </c>
      <c r="F374" s="130"/>
    </row>
    <row r="375" spans="1:6">
      <c r="A375" s="129"/>
      <c r="B375" s="139">
        <v>467</v>
      </c>
      <c r="C375" s="138" t="s">
        <v>532</v>
      </c>
      <c r="D375" s="128" t="s">
        <v>985</v>
      </c>
      <c r="E375" s="128" t="s">
        <v>927</v>
      </c>
      <c r="F375" s="130"/>
    </row>
    <row r="376" spans="1:6" ht="14.4">
      <c r="B376" s="139">
        <v>468</v>
      </c>
      <c r="D376" s="127" t="s">
        <v>341</v>
      </c>
      <c r="E376" s="168" t="s">
        <v>933</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986</v>
      </c>
      <c r="E408" s="134" t="s">
        <v>987</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989</v>
      </c>
      <c r="E435" s="140" t="s">
        <v>1000</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990</v>
      </c>
      <c r="B2" s="94" t="s">
        <v>0</v>
      </c>
      <c r="C2" s="95" t="s">
        <v>994</v>
      </c>
      <c r="D2" s="95">
        <v>43375</v>
      </c>
      <c r="E2" s="96">
        <v>43376</v>
      </c>
      <c r="F2" s="95">
        <v>43375</v>
      </c>
      <c r="G2" s="95">
        <v>43379</v>
      </c>
      <c r="H2" s="92">
        <v>1</v>
      </c>
    </row>
    <row r="3" spans="1:8">
      <c r="A3" s="93" t="s">
        <v>449</v>
      </c>
      <c r="B3" s="94" t="s">
        <v>427</v>
      </c>
      <c r="C3" s="95" t="s">
        <v>994</v>
      </c>
      <c r="D3" s="95">
        <v>43379</v>
      </c>
      <c r="E3" s="96">
        <v>43385</v>
      </c>
      <c r="F3" s="95">
        <v>43375</v>
      </c>
      <c r="G3" s="95">
        <v>43379</v>
      </c>
      <c r="H3" s="92">
        <v>0</v>
      </c>
    </row>
    <row r="4" spans="1:8">
      <c r="A4" s="93" t="s">
        <v>449</v>
      </c>
      <c r="B4" s="94" t="s">
        <v>427</v>
      </c>
      <c r="C4" s="95" t="s">
        <v>991</v>
      </c>
      <c r="D4" s="95">
        <v>43379</v>
      </c>
      <c r="E4" s="96">
        <v>43385</v>
      </c>
      <c r="F4" s="95">
        <v>43375</v>
      </c>
      <c r="G4" s="95">
        <v>43379</v>
      </c>
      <c r="H4" s="92">
        <v>0</v>
      </c>
    </row>
    <row r="5" spans="1:8">
      <c r="A5" s="93" t="s">
        <v>449</v>
      </c>
      <c r="B5" s="94" t="s">
        <v>427</v>
      </c>
      <c r="C5" s="95" t="s">
        <v>1051</v>
      </c>
      <c r="D5" s="95">
        <v>43379</v>
      </c>
      <c r="E5" s="96">
        <v>43385</v>
      </c>
      <c r="F5" s="95">
        <v>43375</v>
      </c>
      <c r="G5" s="95">
        <v>43379</v>
      </c>
      <c r="H5" s="92">
        <v>0</v>
      </c>
    </row>
    <row r="6" spans="1:8">
      <c r="A6" s="93" t="s">
        <v>449</v>
      </c>
      <c r="B6" s="94" t="s">
        <v>427</v>
      </c>
      <c r="C6" s="95" t="s">
        <v>994</v>
      </c>
      <c r="D6" s="95">
        <v>43379</v>
      </c>
      <c r="E6" s="96">
        <v>43385</v>
      </c>
      <c r="F6" s="95">
        <v>43380</v>
      </c>
      <c r="G6" s="95">
        <v>43386</v>
      </c>
      <c r="H6" s="92">
        <v>1.3333333333333333</v>
      </c>
    </row>
    <row r="7" spans="1:8">
      <c r="A7" s="93" t="s">
        <v>449</v>
      </c>
      <c r="B7" s="94" t="s">
        <v>427</v>
      </c>
      <c r="C7" s="95" t="s">
        <v>991</v>
      </c>
      <c r="D7" s="95">
        <v>43379</v>
      </c>
      <c r="E7" s="96">
        <v>43385</v>
      </c>
      <c r="F7" s="95">
        <v>43380</v>
      </c>
      <c r="G7" s="95">
        <v>43386</v>
      </c>
      <c r="H7" s="92">
        <v>1.3333333333333333</v>
      </c>
    </row>
    <row r="8" spans="1:8">
      <c r="A8" s="93" t="s">
        <v>449</v>
      </c>
      <c r="B8" s="94" t="s">
        <v>427</v>
      </c>
      <c r="C8" s="95" t="s">
        <v>1051</v>
      </c>
      <c r="D8" s="95">
        <v>43379</v>
      </c>
      <c r="E8" s="96">
        <v>43385</v>
      </c>
      <c r="F8" s="95">
        <v>43380</v>
      </c>
      <c r="G8" s="95">
        <v>43386</v>
      </c>
      <c r="H8" s="92">
        <v>1.3333333333333333</v>
      </c>
    </row>
    <row r="9" spans="1:8">
      <c r="A9" s="93" t="s">
        <v>450</v>
      </c>
      <c r="B9" s="94" t="s">
        <v>438</v>
      </c>
      <c r="C9" s="95" t="s">
        <v>994</v>
      </c>
      <c r="D9" s="95">
        <v>43397</v>
      </c>
      <c r="E9" s="96">
        <v>43397</v>
      </c>
      <c r="F9" s="95">
        <v>43394</v>
      </c>
      <c r="G9" s="95">
        <v>43400</v>
      </c>
      <c r="H9" s="92">
        <v>1</v>
      </c>
    </row>
    <row r="10" spans="1:8">
      <c r="A10" s="93" t="s">
        <v>431</v>
      </c>
      <c r="B10" s="94" t="s">
        <v>439</v>
      </c>
      <c r="C10" s="95" t="s">
        <v>991</v>
      </c>
      <c r="D10" s="95">
        <v>43400</v>
      </c>
      <c r="E10" s="96">
        <v>43404</v>
      </c>
      <c r="F10" s="95">
        <v>43394</v>
      </c>
      <c r="G10" s="95">
        <v>43400</v>
      </c>
      <c r="H10" s="92">
        <v>0</v>
      </c>
    </row>
    <row r="11" spans="1:8">
      <c r="A11" s="93" t="s">
        <v>431</v>
      </c>
      <c r="B11" s="94" t="s">
        <v>439</v>
      </c>
      <c r="C11" s="95" t="s">
        <v>991</v>
      </c>
      <c r="D11" s="95">
        <v>43400</v>
      </c>
      <c r="E11" s="96">
        <v>43404</v>
      </c>
      <c r="F11" s="95">
        <v>43401</v>
      </c>
      <c r="G11" s="95">
        <v>43407</v>
      </c>
      <c r="H11" s="92">
        <v>3</v>
      </c>
    </row>
    <row r="12" spans="1:8">
      <c r="A12" s="93" t="s">
        <v>432</v>
      </c>
      <c r="B12" s="94" t="s">
        <v>440</v>
      </c>
      <c r="C12" s="95" t="s">
        <v>991</v>
      </c>
      <c r="D12" s="95">
        <v>43432</v>
      </c>
      <c r="E12" s="96">
        <v>43432</v>
      </c>
      <c r="F12" s="95">
        <v>43429</v>
      </c>
      <c r="G12" s="95">
        <v>43435</v>
      </c>
      <c r="H12" s="92">
        <v>1</v>
      </c>
    </row>
    <row r="13" spans="1:8">
      <c r="A13" s="93" t="s">
        <v>433</v>
      </c>
      <c r="B13" s="94" t="s">
        <v>441</v>
      </c>
      <c r="C13" s="95" t="s">
        <v>1104</v>
      </c>
      <c r="D13" s="95">
        <v>43468</v>
      </c>
      <c r="E13" s="96">
        <v>43493</v>
      </c>
      <c r="F13" s="95">
        <v>43464</v>
      </c>
      <c r="G13" s="95">
        <v>43470</v>
      </c>
      <c r="H13" s="92">
        <v>2</v>
      </c>
    </row>
    <row r="14" spans="1:8">
      <c r="A14" s="93" t="s">
        <v>433</v>
      </c>
      <c r="B14" s="94" t="s">
        <v>441</v>
      </c>
      <c r="C14" s="95" t="s">
        <v>1104</v>
      </c>
      <c r="D14" s="95">
        <v>43468</v>
      </c>
      <c r="E14" s="96">
        <v>43493</v>
      </c>
      <c r="F14" s="95">
        <v>43471</v>
      </c>
      <c r="G14" s="95">
        <v>43477</v>
      </c>
      <c r="H14" s="92">
        <v>5</v>
      </c>
    </row>
    <row r="15" spans="1:8">
      <c r="A15" s="93" t="s">
        <v>433</v>
      </c>
      <c r="B15" s="94" t="s">
        <v>441</v>
      </c>
      <c r="C15" s="95" t="s">
        <v>1104</v>
      </c>
      <c r="D15" s="95">
        <v>43468</v>
      </c>
      <c r="E15" s="96">
        <v>43493</v>
      </c>
      <c r="F15" s="95">
        <v>43478</v>
      </c>
      <c r="G15" s="95">
        <v>43484</v>
      </c>
      <c r="H15" s="92">
        <v>5</v>
      </c>
    </row>
    <row r="16" spans="1:8">
      <c r="A16" s="93" t="s">
        <v>433</v>
      </c>
      <c r="B16" s="94" t="s">
        <v>441</v>
      </c>
      <c r="C16" s="95" t="s">
        <v>1104</v>
      </c>
      <c r="D16" s="95">
        <v>43468</v>
      </c>
      <c r="E16" s="96">
        <v>43493</v>
      </c>
      <c r="F16" s="95">
        <v>43485</v>
      </c>
      <c r="G16" s="95">
        <v>43491</v>
      </c>
      <c r="H16" s="92">
        <v>5</v>
      </c>
    </row>
    <row r="17" spans="1:8">
      <c r="A17" s="93" t="s">
        <v>433</v>
      </c>
      <c r="B17" s="94" t="s">
        <v>441</v>
      </c>
      <c r="C17" s="95" t="s">
        <v>1104</v>
      </c>
      <c r="D17" s="95">
        <v>43468</v>
      </c>
      <c r="E17" s="96">
        <v>43493</v>
      </c>
      <c r="F17" s="95">
        <v>43492</v>
      </c>
      <c r="G17" s="95">
        <v>43498</v>
      </c>
      <c r="H17" s="92">
        <v>1</v>
      </c>
    </row>
    <row r="18" spans="1:8">
      <c r="A18" s="93" t="s">
        <v>434</v>
      </c>
      <c r="B18" s="94" t="s">
        <v>1001</v>
      </c>
      <c r="C18" s="95" t="s">
        <v>1104</v>
      </c>
      <c r="D18" s="95">
        <v>43397</v>
      </c>
      <c r="E18" s="96">
        <v>43397</v>
      </c>
      <c r="F18" s="95">
        <v>43394</v>
      </c>
      <c r="G18" s="95">
        <v>43400</v>
      </c>
      <c r="H18" s="92">
        <v>1</v>
      </c>
    </row>
    <row r="19" spans="1:8">
      <c r="A19" s="93" t="s">
        <v>435</v>
      </c>
      <c r="B19" s="94" t="s">
        <v>442</v>
      </c>
      <c r="C19" s="95" t="s">
        <v>994</v>
      </c>
      <c r="D19" s="95">
        <v>43501</v>
      </c>
      <c r="E19" s="96">
        <v>43505</v>
      </c>
      <c r="F19" s="95">
        <v>43499</v>
      </c>
      <c r="G19" s="95">
        <v>43505</v>
      </c>
      <c r="H19" s="92">
        <v>2</v>
      </c>
    </row>
    <row r="20" spans="1:8">
      <c r="A20" s="93" t="s">
        <v>436</v>
      </c>
      <c r="B20" s="94" t="s">
        <v>443</v>
      </c>
      <c r="C20" s="95" t="s">
        <v>994</v>
      </c>
      <c r="D20" s="95">
        <v>43508</v>
      </c>
      <c r="E20" s="96">
        <v>43526</v>
      </c>
      <c r="F20" s="95">
        <v>43506</v>
      </c>
      <c r="G20" s="95">
        <v>43512</v>
      </c>
      <c r="H20" s="92">
        <v>4</v>
      </c>
    </row>
    <row r="21" spans="1:8">
      <c r="A21" s="93" t="s">
        <v>436</v>
      </c>
      <c r="B21" s="94" t="s">
        <v>443</v>
      </c>
      <c r="C21" s="95" t="s">
        <v>994</v>
      </c>
      <c r="D21" s="95">
        <v>43508</v>
      </c>
      <c r="E21" s="96">
        <v>43526</v>
      </c>
      <c r="F21" s="95">
        <v>43513</v>
      </c>
      <c r="G21" s="95">
        <v>43519</v>
      </c>
      <c r="H21" s="92">
        <v>5</v>
      </c>
    </row>
    <row r="22" spans="1:8">
      <c r="A22" s="93" t="s">
        <v>436</v>
      </c>
      <c r="B22" s="94" t="s">
        <v>443</v>
      </c>
      <c r="C22" s="95" t="s">
        <v>994</v>
      </c>
      <c r="D22" s="95">
        <v>43508</v>
      </c>
      <c r="E22" s="96">
        <v>43526</v>
      </c>
      <c r="F22" s="95">
        <v>43520</v>
      </c>
      <c r="G22" s="95">
        <v>43526</v>
      </c>
      <c r="H22" s="92">
        <v>4</v>
      </c>
    </row>
    <row r="23" spans="1:8">
      <c r="A23" s="93" t="s">
        <v>437</v>
      </c>
      <c r="B23" s="94" t="s">
        <v>444</v>
      </c>
      <c r="C23" s="95" t="s">
        <v>994</v>
      </c>
      <c r="D23" s="95">
        <v>43526</v>
      </c>
      <c r="E23" s="96">
        <v>43526</v>
      </c>
      <c r="F23" s="95">
        <v>43520</v>
      </c>
      <c r="G23" s="95">
        <v>43526</v>
      </c>
      <c r="H23" s="92">
        <v>0</v>
      </c>
    </row>
    <row r="24" spans="1:8">
      <c r="A24" s="93" t="s">
        <v>451</v>
      </c>
      <c r="B24" s="94" t="s">
        <v>445</v>
      </c>
      <c r="C24" s="95" t="s">
        <v>994</v>
      </c>
      <c r="D24" s="95">
        <v>43526</v>
      </c>
      <c r="E24" s="96">
        <v>43526</v>
      </c>
      <c r="F24" s="95">
        <v>43520</v>
      </c>
      <c r="G24" s="95">
        <v>43526</v>
      </c>
      <c r="H24" s="92">
        <v>0</v>
      </c>
    </row>
    <row r="25" spans="1:8">
      <c r="A25" s="93" t="s">
        <v>995</v>
      </c>
      <c r="B25" s="94" t="s">
        <v>446</v>
      </c>
      <c r="C25" s="95" t="s">
        <v>1052</v>
      </c>
      <c r="D25" s="95">
        <v>43379</v>
      </c>
      <c r="E25" s="96">
        <v>43397</v>
      </c>
      <c r="F25" s="95">
        <v>43375</v>
      </c>
      <c r="G25" s="95">
        <v>43379</v>
      </c>
      <c r="H25" s="92">
        <v>0</v>
      </c>
    </row>
    <row r="26" spans="1:8">
      <c r="A26" s="93" t="s">
        <v>995</v>
      </c>
      <c r="B26" s="94" t="s">
        <v>446</v>
      </c>
      <c r="C26" s="95" t="s">
        <v>1044</v>
      </c>
      <c r="D26" s="95">
        <v>43379</v>
      </c>
      <c r="E26" s="96">
        <v>43397</v>
      </c>
      <c r="F26" s="95">
        <v>43375</v>
      </c>
      <c r="G26" s="95">
        <v>43379</v>
      </c>
      <c r="H26" s="92">
        <v>0</v>
      </c>
    </row>
    <row r="27" spans="1:8">
      <c r="A27" s="93" t="s">
        <v>995</v>
      </c>
      <c r="B27" s="94" t="s">
        <v>446</v>
      </c>
      <c r="C27" s="95" t="s">
        <v>1053</v>
      </c>
      <c r="D27" s="95">
        <v>43379</v>
      </c>
      <c r="E27" s="96">
        <v>43397</v>
      </c>
      <c r="F27" s="95">
        <v>43375</v>
      </c>
      <c r="G27" s="95">
        <v>43379</v>
      </c>
      <c r="H27" s="92">
        <v>0</v>
      </c>
    </row>
    <row r="28" spans="1:8">
      <c r="A28" s="93" t="s">
        <v>995</v>
      </c>
      <c r="B28" s="94" t="s">
        <v>446</v>
      </c>
      <c r="C28" s="95" t="s">
        <v>1052</v>
      </c>
      <c r="D28" s="95">
        <v>43379</v>
      </c>
      <c r="E28" s="96">
        <v>43397</v>
      </c>
      <c r="F28" s="95">
        <v>43380</v>
      </c>
      <c r="G28" s="95">
        <v>43386</v>
      </c>
      <c r="H28" s="92">
        <v>1.3333333333333333</v>
      </c>
    </row>
    <row r="29" spans="1:8">
      <c r="A29" s="93" t="s">
        <v>995</v>
      </c>
      <c r="B29" s="94" t="s">
        <v>446</v>
      </c>
      <c r="C29" s="95" t="s">
        <v>1044</v>
      </c>
      <c r="D29" s="95">
        <v>43379</v>
      </c>
      <c r="E29" s="96">
        <v>43397</v>
      </c>
      <c r="F29" s="95">
        <v>43380</v>
      </c>
      <c r="G29" s="95">
        <v>43386</v>
      </c>
      <c r="H29" s="92">
        <v>1.3333333333333333</v>
      </c>
    </row>
    <row r="30" spans="1:8">
      <c r="A30" s="93" t="s">
        <v>995</v>
      </c>
      <c r="B30" s="94" t="s">
        <v>446</v>
      </c>
      <c r="C30" s="95" t="s">
        <v>1053</v>
      </c>
      <c r="D30" s="95">
        <v>43379</v>
      </c>
      <c r="E30" s="96">
        <v>43397</v>
      </c>
      <c r="F30" s="95">
        <v>43380</v>
      </c>
      <c r="G30" s="95">
        <v>43386</v>
      </c>
      <c r="H30" s="92">
        <v>1.3333333333333333</v>
      </c>
    </row>
    <row r="31" spans="1:8">
      <c r="A31" s="93" t="s">
        <v>995</v>
      </c>
      <c r="B31" s="94" t="s">
        <v>446</v>
      </c>
      <c r="C31" s="95" t="s">
        <v>1052</v>
      </c>
      <c r="D31" s="95">
        <v>43379</v>
      </c>
      <c r="E31" s="96">
        <v>43397</v>
      </c>
      <c r="F31" s="95">
        <v>43387</v>
      </c>
      <c r="G31" s="95">
        <v>43393</v>
      </c>
      <c r="H31" s="92">
        <v>1.6666666666666667</v>
      </c>
    </row>
    <row r="32" spans="1:8">
      <c r="A32" s="93" t="s">
        <v>995</v>
      </c>
      <c r="B32" s="94" t="s">
        <v>446</v>
      </c>
      <c r="C32" s="95" t="s">
        <v>1044</v>
      </c>
      <c r="D32" s="95">
        <v>43379</v>
      </c>
      <c r="E32" s="96">
        <v>43397</v>
      </c>
      <c r="F32" s="95">
        <v>43387</v>
      </c>
      <c r="G32" s="95">
        <v>43393</v>
      </c>
      <c r="H32" s="92">
        <v>1.6666666666666667</v>
      </c>
    </row>
    <row r="33" spans="1:8">
      <c r="A33" s="93" t="s">
        <v>995</v>
      </c>
      <c r="B33" s="94" t="s">
        <v>446</v>
      </c>
      <c r="C33" s="95" t="s">
        <v>1053</v>
      </c>
      <c r="D33" s="95">
        <v>43379</v>
      </c>
      <c r="E33" s="96">
        <v>43397</v>
      </c>
      <c r="F33" s="95">
        <v>43387</v>
      </c>
      <c r="G33" s="95">
        <v>43393</v>
      </c>
      <c r="H33" s="92">
        <v>1.6666666666666667</v>
      </c>
    </row>
    <row r="34" spans="1:8">
      <c r="A34" s="93" t="s">
        <v>995</v>
      </c>
      <c r="B34" s="94" t="s">
        <v>446</v>
      </c>
      <c r="C34" s="95" t="s">
        <v>1052</v>
      </c>
      <c r="D34" s="95">
        <v>43379</v>
      </c>
      <c r="E34" s="96">
        <v>43397</v>
      </c>
      <c r="F34" s="95">
        <v>43394</v>
      </c>
      <c r="G34" s="95">
        <v>43400</v>
      </c>
      <c r="H34" s="92">
        <v>1</v>
      </c>
    </row>
    <row r="35" spans="1:8">
      <c r="A35" s="93" t="s">
        <v>995</v>
      </c>
      <c r="B35" s="94" t="s">
        <v>446</v>
      </c>
      <c r="C35" s="95" t="s">
        <v>1044</v>
      </c>
      <c r="D35" s="95">
        <v>43379</v>
      </c>
      <c r="E35" s="96">
        <v>43397</v>
      </c>
      <c r="F35" s="95">
        <v>43394</v>
      </c>
      <c r="G35" s="95">
        <v>43400</v>
      </c>
      <c r="H35" s="92">
        <v>1</v>
      </c>
    </row>
    <row r="36" spans="1:8">
      <c r="A36" s="93" t="s">
        <v>995</v>
      </c>
      <c r="B36" s="94" t="s">
        <v>446</v>
      </c>
      <c r="C36" s="95" t="s">
        <v>1053</v>
      </c>
      <c r="D36" s="95">
        <v>43379</v>
      </c>
      <c r="E36" s="96">
        <v>43397</v>
      </c>
      <c r="F36" s="95">
        <v>43394</v>
      </c>
      <c r="G36" s="95">
        <v>43400</v>
      </c>
      <c r="H36" s="92">
        <v>1</v>
      </c>
    </row>
    <row r="37" spans="1:8">
      <c r="A37" s="93" t="s">
        <v>996</v>
      </c>
      <c r="B37" s="94" t="s">
        <v>447</v>
      </c>
      <c r="C37" s="95" t="s">
        <v>1044</v>
      </c>
      <c r="D37" s="95">
        <v>43385</v>
      </c>
      <c r="E37" s="96">
        <v>43396</v>
      </c>
      <c r="F37" s="95">
        <v>43380</v>
      </c>
      <c r="G37" s="95">
        <v>43386</v>
      </c>
      <c r="H37" s="92">
        <v>1</v>
      </c>
    </row>
    <row r="38" spans="1:8">
      <c r="A38" s="93" t="s">
        <v>996</v>
      </c>
      <c r="B38" s="94" t="s">
        <v>447</v>
      </c>
      <c r="C38" s="95" t="s">
        <v>1044</v>
      </c>
      <c r="D38" s="95">
        <v>43385</v>
      </c>
      <c r="E38" s="96">
        <v>43396</v>
      </c>
      <c r="F38" s="95">
        <v>43387</v>
      </c>
      <c r="G38" s="95">
        <v>43393</v>
      </c>
      <c r="H38" s="92">
        <v>5</v>
      </c>
    </row>
    <row r="39" spans="1:8">
      <c r="A39" s="93" t="s">
        <v>996</v>
      </c>
      <c r="B39" s="94" t="s">
        <v>447</v>
      </c>
      <c r="C39" s="95" t="s">
        <v>1044</v>
      </c>
      <c r="D39" s="95">
        <v>43385</v>
      </c>
      <c r="E39" s="96">
        <v>43396</v>
      </c>
      <c r="F39" s="95">
        <v>43394</v>
      </c>
      <c r="G39" s="95">
        <v>43400</v>
      </c>
      <c r="H39" s="92">
        <v>2</v>
      </c>
    </row>
    <row r="40" spans="1:8">
      <c r="A40" s="93" t="s">
        <v>997</v>
      </c>
      <c r="B40" s="94" t="s">
        <v>448</v>
      </c>
      <c r="C40" s="95" t="s">
        <v>1044</v>
      </c>
      <c r="D40" s="95">
        <v>43385</v>
      </c>
      <c r="E40" s="96">
        <v>43396</v>
      </c>
      <c r="F40" s="95">
        <v>43380</v>
      </c>
      <c r="G40" s="95">
        <v>43386</v>
      </c>
      <c r="H40" s="92">
        <v>1</v>
      </c>
    </row>
    <row r="41" spans="1:8">
      <c r="A41" s="93" t="s">
        <v>997</v>
      </c>
      <c r="B41" s="94" t="s">
        <v>448</v>
      </c>
      <c r="C41" s="95" t="s">
        <v>1044</v>
      </c>
      <c r="D41" s="95">
        <v>43385</v>
      </c>
      <c r="E41" s="96">
        <v>43396</v>
      </c>
      <c r="F41" s="95">
        <v>43387</v>
      </c>
      <c r="G41" s="95">
        <v>43393</v>
      </c>
      <c r="H41" s="92">
        <v>5</v>
      </c>
    </row>
    <row r="42" spans="1:8">
      <c r="A42" s="93" t="s">
        <v>997</v>
      </c>
      <c r="B42" s="94" t="s">
        <v>448</v>
      </c>
      <c r="C42" s="95" t="s">
        <v>1044</v>
      </c>
      <c r="D42" s="95">
        <v>43385</v>
      </c>
      <c r="E42" s="96">
        <v>43396</v>
      </c>
      <c r="F42" s="95">
        <v>43394</v>
      </c>
      <c r="G42" s="95">
        <v>43400</v>
      </c>
      <c r="H42" s="92">
        <v>2</v>
      </c>
    </row>
    <row r="43" spans="1:8">
      <c r="A43" s="93" t="s">
        <v>998</v>
      </c>
      <c r="B43" s="94" t="s">
        <v>1006</v>
      </c>
      <c r="C43" s="95" t="s">
        <v>1045</v>
      </c>
      <c r="D43" s="95">
        <v>43399</v>
      </c>
      <c r="E43" s="96">
        <v>43417</v>
      </c>
      <c r="F43" s="95">
        <v>43394</v>
      </c>
      <c r="G43" s="95">
        <v>43400</v>
      </c>
      <c r="H43" s="92">
        <v>1</v>
      </c>
    </row>
    <row r="44" spans="1:8">
      <c r="A44" s="93" t="s">
        <v>998</v>
      </c>
      <c r="B44" s="94" t="s">
        <v>1006</v>
      </c>
      <c r="C44" s="95" t="s">
        <v>1045</v>
      </c>
      <c r="D44" s="95">
        <v>43399</v>
      </c>
      <c r="E44" s="96">
        <v>43417</v>
      </c>
      <c r="F44" s="95">
        <v>43401</v>
      </c>
      <c r="G44" s="95">
        <v>43407</v>
      </c>
      <c r="H44" s="92">
        <v>5</v>
      </c>
    </row>
    <row r="45" spans="1:8">
      <c r="A45" s="93" t="s">
        <v>998</v>
      </c>
      <c r="B45" s="94" t="s">
        <v>1006</v>
      </c>
      <c r="C45" s="95" t="s">
        <v>1045</v>
      </c>
      <c r="D45" s="95">
        <v>43399</v>
      </c>
      <c r="E45" s="96">
        <v>43417</v>
      </c>
      <c r="F45" s="95">
        <v>43408</v>
      </c>
      <c r="G45" s="95">
        <v>43414</v>
      </c>
      <c r="H45" s="92">
        <v>5</v>
      </c>
    </row>
    <row r="46" spans="1:8">
      <c r="A46" s="93" t="s">
        <v>998</v>
      </c>
      <c r="B46" s="94" t="s">
        <v>1006</v>
      </c>
      <c r="C46" s="95" t="s">
        <v>1045</v>
      </c>
      <c r="D46" s="95">
        <v>43399</v>
      </c>
      <c r="E46" s="96">
        <v>43417</v>
      </c>
      <c r="F46" s="95">
        <v>43415</v>
      </c>
      <c r="G46" s="95">
        <v>43421</v>
      </c>
      <c r="H46" s="92">
        <v>2</v>
      </c>
    </row>
    <row r="47" spans="1:8">
      <c r="A47" s="93" t="s">
        <v>1008</v>
      </c>
      <c r="B47" s="94" t="s">
        <v>1009</v>
      </c>
      <c r="C47" s="95" t="s">
        <v>1046</v>
      </c>
      <c r="D47" s="95">
        <v>43406</v>
      </c>
      <c r="E47" s="96">
        <v>43417</v>
      </c>
      <c r="F47" s="95">
        <v>43401</v>
      </c>
      <c r="G47" s="95">
        <v>43407</v>
      </c>
      <c r="H47" s="92">
        <v>1</v>
      </c>
    </row>
    <row r="48" spans="1:8">
      <c r="A48" s="93" t="s">
        <v>1008</v>
      </c>
      <c r="B48" s="94" t="s">
        <v>1009</v>
      </c>
      <c r="C48" s="95" t="s">
        <v>1046</v>
      </c>
      <c r="D48" s="95">
        <v>43406</v>
      </c>
      <c r="E48" s="96">
        <v>43417</v>
      </c>
      <c r="F48" s="95">
        <v>43408</v>
      </c>
      <c r="G48" s="95">
        <v>43414</v>
      </c>
      <c r="H48" s="92">
        <v>5</v>
      </c>
    </row>
    <row r="49" spans="1:8">
      <c r="A49" s="93" t="s">
        <v>1008</v>
      </c>
      <c r="B49" s="94" t="s">
        <v>1009</v>
      </c>
      <c r="C49" s="95" t="s">
        <v>1046</v>
      </c>
      <c r="D49" s="95">
        <v>43406</v>
      </c>
      <c r="E49" s="96">
        <v>43417</v>
      </c>
      <c r="F49" s="95">
        <v>43415</v>
      </c>
      <c r="G49" s="95">
        <v>43421</v>
      </c>
      <c r="H49" s="92">
        <v>2</v>
      </c>
    </row>
    <row r="50" spans="1:8">
      <c r="A50" s="93" t="s">
        <v>1010</v>
      </c>
      <c r="B50" s="94" t="s">
        <v>1011</v>
      </c>
      <c r="C50" s="95" t="s">
        <v>1047</v>
      </c>
      <c r="D50" s="95">
        <v>43413</v>
      </c>
      <c r="E50" s="96">
        <v>43424</v>
      </c>
      <c r="F50" s="95">
        <v>43408</v>
      </c>
      <c r="G50" s="95">
        <v>43414</v>
      </c>
      <c r="H50" s="92">
        <v>1</v>
      </c>
    </row>
    <row r="51" spans="1:8">
      <c r="A51" s="93" t="s">
        <v>1010</v>
      </c>
      <c r="B51" s="94" t="s">
        <v>1011</v>
      </c>
      <c r="C51" s="95" t="s">
        <v>1047</v>
      </c>
      <c r="D51" s="95">
        <v>43413</v>
      </c>
      <c r="E51" s="96">
        <v>43424</v>
      </c>
      <c r="F51" s="95">
        <v>43415</v>
      </c>
      <c r="G51" s="95">
        <v>43421</v>
      </c>
      <c r="H51" s="92">
        <v>5</v>
      </c>
    </row>
    <row r="52" spans="1:8">
      <c r="A52" s="93" t="s">
        <v>1010</v>
      </c>
      <c r="B52" s="94" t="s">
        <v>1011</v>
      </c>
      <c r="C52" s="95" t="s">
        <v>1047</v>
      </c>
      <c r="D52" s="95">
        <v>43413</v>
      </c>
      <c r="E52" s="96">
        <v>43424</v>
      </c>
      <c r="F52" s="95">
        <v>43422</v>
      </c>
      <c r="G52" s="95">
        <v>43428</v>
      </c>
      <c r="H52" s="92">
        <v>2</v>
      </c>
    </row>
    <row r="53" spans="1:8">
      <c r="A53" s="93" t="s">
        <v>1012</v>
      </c>
      <c r="B53" s="94" t="s">
        <v>1013</v>
      </c>
      <c r="C53" s="95" t="s">
        <v>1048</v>
      </c>
      <c r="D53" s="95">
        <v>43413</v>
      </c>
      <c r="E53" s="96">
        <v>43431</v>
      </c>
      <c r="F53" s="95">
        <v>43408</v>
      </c>
      <c r="G53" s="95">
        <v>43414</v>
      </c>
      <c r="H53" s="92">
        <v>1</v>
      </c>
    </row>
    <row r="54" spans="1:8">
      <c r="A54" s="93" t="s">
        <v>1012</v>
      </c>
      <c r="B54" s="94" t="s">
        <v>1013</v>
      </c>
      <c r="C54" s="95" t="s">
        <v>1048</v>
      </c>
      <c r="D54" s="95">
        <v>43413</v>
      </c>
      <c r="E54" s="96">
        <v>43431</v>
      </c>
      <c r="F54" s="95">
        <v>43415</v>
      </c>
      <c r="G54" s="95">
        <v>43421</v>
      </c>
      <c r="H54" s="92">
        <v>5</v>
      </c>
    </row>
    <row r="55" spans="1:8">
      <c r="A55" s="93" t="s">
        <v>1012</v>
      </c>
      <c r="B55" s="94" t="s">
        <v>1013</v>
      </c>
      <c r="C55" s="95" t="s">
        <v>1048</v>
      </c>
      <c r="D55" s="95">
        <v>43413</v>
      </c>
      <c r="E55" s="96">
        <v>43431</v>
      </c>
      <c r="F55" s="95">
        <v>43422</v>
      </c>
      <c r="G55" s="95">
        <v>43428</v>
      </c>
      <c r="H55" s="92">
        <v>5</v>
      </c>
    </row>
    <row r="56" spans="1:8">
      <c r="A56" s="93" t="s">
        <v>1012</v>
      </c>
      <c r="B56" s="94" t="s">
        <v>1013</v>
      </c>
      <c r="C56" s="95" t="s">
        <v>1048</v>
      </c>
      <c r="D56" s="95">
        <v>43413</v>
      </c>
      <c r="E56" s="96">
        <v>43431</v>
      </c>
      <c r="F56" s="95">
        <v>43429</v>
      </c>
      <c r="G56" s="95">
        <v>43435</v>
      </c>
      <c r="H56" s="92">
        <v>2</v>
      </c>
    </row>
    <row r="57" spans="1:8">
      <c r="A57" s="93" t="s">
        <v>999</v>
      </c>
      <c r="B57" s="94" t="s">
        <v>1014</v>
      </c>
      <c r="C57" s="95" t="s">
        <v>1048</v>
      </c>
      <c r="D57" s="95">
        <v>43434</v>
      </c>
      <c r="E57" s="96">
        <v>43438</v>
      </c>
      <c r="F57" s="95">
        <v>43429</v>
      </c>
      <c r="G57" s="95">
        <v>43435</v>
      </c>
      <c r="H57" s="92">
        <v>1</v>
      </c>
    </row>
    <row r="58" spans="1:8">
      <c r="A58" s="93" t="s">
        <v>999</v>
      </c>
      <c r="B58" s="94" t="s">
        <v>1014</v>
      </c>
      <c r="C58" s="95" t="s">
        <v>1048</v>
      </c>
      <c r="D58" s="95">
        <v>43434</v>
      </c>
      <c r="E58" s="96">
        <v>43438</v>
      </c>
      <c r="F58" s="95">
        <v>43436</v>
      </c>
      <c r="G58" s="95">
        <v>43442</v>
      </c>
      <c r="H58" s="92">
        <v>2</v>
      </c>
    </row>
    <row r="59" spans="1:8">
      <c r="A59" s="93" t="s">
        <v>1015</v>
      </c>
      <c r="B59" s="94" t="s">
        <v>1016</v>
      </c>
      <c r="C59" s="95" t="s">
        <v>1048</v>
      </c>
      <c r="D59" s="95">
        <v>43434</v>
      </c>
      <c r="E59" s="96">
        <v>43438</v>
      </c>
      <c r="F59" s="95">
        <v>43429</v>
      </c>
      <c r="G59" s="95">
        <v>43435</v>
      </c>
      <c r="H59" s="92">
        <v>1</v>
      </c>
    </row>
    <row r="60" spans="1:8">
      <c r="A60" s="93" t="s">
        <v>1015</v>
      </c>
      <c r="B60" s="94" t="s">
        <v>1016</v>
      </c>
      <c r="C60" s="95" t="s">
        <v>1048</v>
      </c>
      <c r="D60" s="95">
        <v>43434</v>
      </c>
      <c r="E60" s="96">
        <v>43438</v>
      </c>
      <c r="F60" s="95">
        <v>43436</v>
      </c>
      <c r="G60" s="95">
        <v>43442</v>
      </c>
      <c r="H60" s="92">
        <v>2</v>
      </c>
    </row>
    <row r="61" spans="1:8">
      <c r="A61" s="93" t="s">
        <v>1017</v>
      </c>
      <c r="B61" s="94" t="s">
        <v>1018</v>
      </c>
      <c r="C61" s="95" t="s">
        <v>1049</v>
      </c>
      <c r="D61" s="95">
        <v>43434</v>
      </c>
      <c r="E61" s="96">
        <v>43438</v>
      </c>
      <c r="F61" s="95">
        <v>43429</v>
      </c>
      <c r="G61" s="95">
        <v>43435</v>
      </c>
      <c r="H61" s="92">
        <v>1</v>
      </c>
    </row>
    <row r="62" spans="1:8">
      <c r="A62" s="93" t="s">
        <v>1017</v>
      </c>
      <c r="B62" s="94" t="s">
        <v>1018</v>
      </c>
      <c r="C62" s="95" t="s">
        <v>1049</v>
      </c>
      <c r="D62" s="95">
        <v>43434</v>
      </c>
      <c r="E62" s="96">
        <v>43438</v>
      </c>
      <c r="F62" s="95">
        <v>43436</v>
      </c>
      <c r="G62" s="95">
        <v>43442</v>
      </c>
      <c r="H62" s="92">
        <v>2</v>
      </c>
    </row>
    <row r="63" spans="1:8">
      <c r="A63" s="93" t="s">
        <v>1019</v>
      </c>
      <c r="B63" s="94" t="s">
        <v>1020</v>
      </c>
      <c r="C63" s="95" t="s">
        <v>1050</v>
      </c>
      <c r="D63" s="95">
        <v>43441</v>
      </c>
      <c r="E63" s="96">
        <v>43445</v>
      </c>
      <c r="F63" s="95">
        <v>43436</v>
      </c>
      <c r="G63" s="95">
        <v>43442</v>
      </c>
      <c r="H63" s="92">
        <v>1</v>
      </c>
    </row>
    <row r="64" spans="1:8">
      <c r="A64" s="93" t="s">
        <v>1019</v>
      </c>
      <c r="B64" s="94" t="s">
        <v>1020</v>
      </c>
      <c r="C64" s="95" t="s">
        <v>1050</v>
      </c>
      <c r="D64" s="95">
        <v>43441</v>
      </c>
      <c r="E64" s="96">
        <v>43445</v>
      </c>
      <c r="F64" s="95">
        <v>43443</v>
      </c>
      <c r="G64" s="95">
        <v>43449</v>
      </c>
      <c r="H64" s="92">
        <v>2</v>
      </c>
    </row>
    <row r="65" spans="1:8">
      <c r="A65" s="93" t="s">
        <v>1021</v>
      </c>
      <c r="B65" s="94" t="s">
        <v>1022</v>
      </c>
      <c r="C65" s="95" t="s">
        <v>1050</v>
      </c>
      <c r="D65" s="95">
        <v>43441</v>
      </c>
      <c r="E65" s="96">
        <v>43452</v>
      </c>
      <c r="F65" s="95">
        <v>43436</v>
      </c>
      <c r="G65" s="95">
        <v>43442</v>
      </c>
      <c r="H65" s="92">
        <v>1</v>
      </c>
    </row>
    <row r="66" spans="1:8">
      <c r="A66" s="93" t="s">
        <v>1021</v>
      </c>
      <c r="B66" s="94" t="s">
        <v>1022</v>
      </c>
      <c r="C66" s="95" t="s">
        <v>1050</v>
      </c>
      <c r="D66" s="95">
        <v>43441</v>
      </c>
      <c r="E66" s="96">
        <v>43452</v>
      </c>
      <c r="F66" s="95">
        <v>43443</v>
      </c>
      <c r="G66" s="95">
        <v>43449</v>
      </c>
      <c r="H66" s="92">
        <v>5</v>
      </c>
    </row>
    <row r="67" spans="1:8">
      <c r="A67" s="93" t="s">
        <v>1021</v>
      </c>
      <c r="B67" s="94" t="s">
        <v>1022</v>
      </c>
      <c r="C67" s="95" t="s">
        <v>1050</v>
      </c>
      <c r="D67" s="95">
        <v>43441</v>
      </c>
      <c r="E67" s="96">
        <v>43452</v>
      </c>
      <c r="F67" s="95">
        <v>43450</v>
      </c>
      <c r="G67" s="95">
        <v>43456</v>
      </c>
      <c r="H67" s="92">
        <v>2</v>
      </c>
    </row>
    <row r="68" spans="1:8">
      <c r="A68" s="93" t="s">
        <v>1023</v>
      </c>
      <c r="B68" s="94" t="s">
        <v>1024</v>
      </c>
      <c r="C68" s="95" t="s">
        <v>1049</v>
      </c>
      <c r="D68" s="95">
        <v>43434</v>
      </c>
      <c r="E68" s="96">
        <v>43493</v>
      </c>
      <c r="F68" s="95">
        <v>43429</v>
      </c>
      <c r="G68" s="95">
        <v>43435</v>
      </c>
      <c r="H68" s="92">
        <v>0.5</v>
      </c>
    </row>
    <row r="69" spans="1:8">
      <c r="A69" s="93" t="s">
        <v>1023</v>
      </c>
      <c r="B69" s="94" t="s">
        <v>1024</v>
      </c>
      <c r="C69" s="95" t="s">
        <v>1050</v>
      </c>
      <c r="D69" s="95">
        <v>43434</v>
      </c>
      <c r="E69" s="96">
        <v>43493</v>
      </c>
      <c r="F69" s="95">
        <v>43429</v>
      </c>
      <c r="G69" s="95">
        <v>43435</v>
      </c>
      <c r="H69" s="92">
        <v>0.5</v>
      </c>
    </row>
    <row r="70" spans="1:8">
      <c r="A70" s="93" t="s">
        <v>1023</v>
      </c>
      <c r="B70" s="94" t="s">
        <v>1024</v>
      </c>
      <c r="C70" s="95" t="s">
        <v>1049</v>
      </c>
      <c r="D70" s="95">
        <v>43434</v>
      </c>
      <c r="E70" s="96">
        <v>43493</v>
      </c>
      <c r="F70" s="95">
        <v>43436</v>
      </c>
      <c r="G70" s="95">
        <v>43442</v>
      </c>
      <c r="H70" s="92">
        <v>2.5</v>
      </c>
    </row>
    <row r="71" spans="1:8">
      <c r="A71" s="93" t="s">
        <v>1023</v>
      </c>
      <c r="B71" s="94" t="s">
        <v>1024</v>
      </c>
      <c r="C71" s="95" t="s">
        <v>1050</v>
      </c>
      <c r="D71" s="95">
        <v>43434</v>
      </c>
      <c r="E71" s="96">
        <v>43493</v>
      </c>
      <c r="F71" s="95">
        <v>43436</v>
      </c>
      <c r="G71" s="95">
        <v>43442</v>
      </c>
      <c r="H71" s="92">
        <v>2.5</v>
      </c>
    </row>
    <row r="72" spans="1:8">
      <c r="A72" s="93" t="s">
        <v>1023</v>
      </c>
      <c r="B72" s="94" t="s">
        <v>1024</v>
      </c>
      <c r="C72" s="95" t="s">
        <v>1049</v>
      </c>
      <c r="D72" s="95">
        <v>43434</v>
      </c>
      <c r="E72" s="96">
        <v>43493</v>
      </c>
      <c r="F72" s="95">
        <v>43443</v>
      </c>
      <c r="G72" s="95">
        <v>43449</v>
      </c>
      <c r="H72" s="92">
        <v>2.5</v>
      </c>
    </row>
    <row r="73" spans="1:8">
      <c r="A73" s="93" t="s">
        <v>1023</v>
      </c>
      <c r="B73" s="94" t="s">
        <v>1024</v>
      </c>
      <c r="C73" s="95" t="s">
        <v>1050</v>
      </c>
      <c r="D73" s="95">
        <v>43434</v>
      </c>
      <c r="E73" s="96">
        <v>43493</v>
      </c>
      <c r="F73" s="95">
        <v>43443</v>
      </c>
      <c r="G73" s="95">
        <v>43449</v>
      </c>
      <c r="H73" s="92">
        <v>2.5</v>
      </c>
    </row>
    <row r="74" spans="1:8">
      <c r="A74" s="93" t="s">
        <v>1023</v>
      </c>
      <c r="B74" s="94" t="s">
        <v>1024</v>
      </c>
      <c r="C74" s="95" t="s">
        <v>1049</v>
      </c>
      <c r="D74" s="95">
        <v>43434</v>
      </c>
      <c r="E74" s="96">
        <v>43493</v>
      </c>
      <c r="F74" s="95">
        <v>43450</v>
      </c>
      <c r="G74" s="95">
        <v>43456</v>
      </c>
      <c r="H74" s="92">
        <v>2.5</v>
      </c>
    </row>
    <row r="75" spans="1:8">
      <c r="A75" s="93" t="s">
        <v>1023</v>
      </c>
      <c r="B75" s="94" t="s">
        <v>1024</v>
      </c>
      <c r="C75" s="95" t="s">
        <v>1050</v>
      </c>
      <c r="D75" s="95">
        <v>43434</v>
      </c>
      <c r="E75" s="96">
        <v>43493</v>
      </c>
      <c r="F75" s="95">
        <v>43450</v>
      </c>
      <c r="G75" s="95">
        <v>43456</v>
      </c>
      <c r="H75" s="92">
        <v>2.5</v>
      </c>
    </row>
    <row r="76" spans="1:8">
      <c r="A76" s="93" t="s">
        <v>1023</v>
      </c>
      <c r="B76" s="94" t="s">
        <v>1024</v>
      </c>
      <c r="C76" s="95" t="s">
        <v>1049</v>
      </c>
      <c r="D76" s="95">
        <v>43434</v>
      </c>
      <c r="E76" s="96">
        <v>43493</v>
      </c>
      <c r="F76" s="95">
        <v>43457</v>
      </c>
      <c r="G76" s="95">
        <v>43463</v>
      </c>
      <c r="H76" s="92">
        <v>2</v>
      </c>
    </row>
    <row r="77" spans="1:8">
      <c r="A77" s="93" t="s">
        <v>1023</v>
      </c>
      <c r="B77" s="94" t="s">
        <v>1024</v>
      </c>
      <c r="C77" s="95" t="s">
        <v>1050</v>
      </c>
      <c r="D77" s="95">
        <v>43434</v>
      </c>
      <c r="E77" s="96">
        <v>43493</v>
      </c>
      <c r="F77" s="95">
        <v>43457</v>
      </c>
      <c r="G77" s="95">
        <v>43463</v>
      </c>
      <c r="H77" s="92">
        <v>2</v>
      </c>
    </row>
    <row r="78" spans="1:8">
      <c r="A78" s="93" t="s">
        <v>1023</v>
      </c>
      <c r="B78" s="94" t="s">
        <v>1024</v>
      </c>
      <c r="C78" s="95" t="s">
        <v>1049</v>
      </c>
      <c r="D78" s="95">
        <v>43434</v>
      </c>
      <c r="E78" s="96">
        <v>43493</v>
      </c>
      <c r="F78" s="95">
        <v>43464</v>
      </c>
      <c r="G78" s="95">
        <v>43470</v>
      </c>
      <c r="H78" s="92">
        <v>2</v>
      </c>
    </row>
    <row r="79" spans="1:8">
      <c r="A79" s="93" t="s">
        <v>1023</v>
      </c>
      <c r="B79" s="94" t="s">
        <v>1024</v>
      </c>
      <c r="C79" s="95" t="s">
        <v>1050</v>
      </c>
      <c r="D79" s="95">
        <v>43434</v>
      </c>
      <c r="E79" s="96">
        <v>43493</v>
      </c>
      <c r="F79" s="95">
        <v>43464</v>
      </c>
      <c r="G79" s="95">
        <v>43470</v>
      </c>
      <c r="H79" s="92">
        <v>2</v>
      </c>
    </row>
    <row r="80" spans="1:8">
      <c r="A80" s="93" t="s">
        <v>1023</v>
      </c>
      <c r="B80" s="94" t="s">
        <v>1024</v>
      </c>
      <c r="C80" s="95" t="s">
        <v>1049</v>
      </c>
      <c r="D80" s="95">
        <v>43434</v>
      </c>
      <c r="E80" s="96">
        <v>43493</v>
      </c>
      <c r="F80" s="95">
        <v>43471</v>
      </c>
      <c r="G80" s="95">
        <v>43477</v>
      </c>
      <c r="H80" s="92">
        <v>2.5</v>
      </c>
    </row>
    <row r="81" spans="1:8">
      <c r="A81" s="93" t="s">
        <v>1023</v>
      </c>
      <c r="B81" s="94" t="s">
        <v>1024</v>
      </c>
      <c r="C81" s="95" t="s">
        <v>1050</v>
      </c>
      <c r="D81" s="95">
        <v>43434</v>
      </c>
      <c r="E81" s="96">
        <v>43493</v>
      </c>
      <c r="F81" s="95">
        <v>43471</v>
      </c>
      <c r="G81" s="95">
        <v>43477</v>
      </c>
      <c r="H81" s="92">
        <v>2.5</v>
      </c>
    </row>
    <row r="82" spans="1:8">
      <c r="A82" s="93" t="s">
        <v>1023</v>
      </c>
      <c r="B82" s="94" t="s">
        <v>1024</v>
      </c>
      <c r="C82" s="95" t="s">
        <v>1049</v>
      </c>
      <c r="D82" s="95">
        <v>43434</v>
      </c>
      <c r="E82" s="96">
        <v>43493</v>
      </c>
      <c r="F82" s="95">
        <v>43478</v>
      </c>
      <c r="G82" s="95">
        <v>43484</v>
      </c>
      <c r="H82" s="92">
        <v>2.5</v>
      </c>
    </row>
    <row r="83" spans="1:8">
      <c r="A83" s="93" t="s">
        <v>1023</v>
      </c>
      <c r="B83" s="94" t="s">
        <v>1024</v>
      </c>
      <c r="C83" s="95" t="s">
        <v>1050</v>
      </c>
      <c r="D83" s="95">
        <v>43434</v>
      </c>
      <c r="E83" s="96">
        <v>43493</v>
      </c>
      <c r="F83" s="95">
        <v>43478</v>
      </c>
      <c r="G83" s="95">
        <v>43484</v>
      </c>
      <c r="H83" s="92">
        <v>2.5</v>
      </c>
    </row>
    <row r="84" spans="1:8">
      <c r="A84" s="93" t="s">
        <v>1023</v>
      </c>
      <c r="B84" s="94" t="s">
        <v>1024</v>
      </c>
      <c r="C84" s="95" t="s">
        <v>1049</v>
      </c>
      <c r="D84" s="95">
        <v>43434</v>
      </c>
      <c r="E84" s="96">
        <v>43493</v>
      </c>
      <c r="F84" s="95">
        <v>43485</v>
      </c>
      <c r="G84" s="95">
        <v>43491</v>
      </c>
      <c r="H84" s="92">
        <v>2.5</v>
      </c>
    </row>
    <row r="85" spans="1:8">
      <c r="A85" s="93" t="s">
        <v>1023</v>
      </c>
      <c r="B85" s="94" t="s">
        <v>1024</v>
      </c>
      <c r="C85" s="95" t="s">
        <v>1050</v>
      </c>
      <c r="D85" s="95">
        <v>43434</v>
      </c>
      <c r="E85" s="96">
        <v>43493</v>
      </c>
      <c r="F85" s="95">
        <v>43485</v>
      </c>
      <c r="G85" s="95">
        <v>43491</v>
      </c>
      <c r="H85" s="92">
        <v>2.5</v>
      </c>
    </row>
    <row r="86" spans="1:8">
      <c r="A86" s="93" t="s">
        <v>1023</v>
      </c>
      <c r="B86" s="94" t="s">
        <v>1024</v>
      </c>
      <c r="C86" s="95" t="s">
        <v>1049</v>
      </c>
      <c r="D86" s="95">
        <v>43434</v>
      </c>
      <c r="E86" s="96">
        <v>43493</v>
      </c>
      <c r="F86" s="95">
        <v>43492</v>
      </c>
      <c r="G86" s="95">
        <v>43498</v>
      </c>
      <c r="H86" s="92">
        <v>0.5</v>
      </c>
    </row>
    <row r="87" spans="1:8">
      <c r="A87" s="93" t="s">
        <v>1023</v>
      </c>
      <c r="B87" s="94" t="s">
        <v>1024</v>
      </c>
      <c r="C87" s="95" t="s">
        <v>1050</v>
      </c>
      <c r="D87" s="95">
        <v>43434</v>
      </c>
      <c r="E87" s="96">
        <v>43493</v>
      </c>
      <c r="F87" s="95">
        <v>43492</v>
      </c>
      <c r="G87" s="95">
        <v>43498</v>
      </c>
      <c r="H87" s="92">
        <v>0.5</v>
      </c>
    </row>
    <row r="88" spans="1:8">
      <c r="A88" s="93" t="s">
        <v>1025</v>
      </c>
      <c r="B88" s="94" t="s">
        <v>1026</v>
      </c>
      <c r="C88" s="95" t="s">
        <v>1049</v>
      </c>
      <c r="D88" s="95">
        <v>43434</v>
      </c>
      <c r="E88" s="96">
        <v>43493</v>
      </c>
      <c r="F88" s="95">
        <v>43429</v>
      </c>
      <c r="G88" s="95">
        <v>43435</v>
      </c>
      <c r="H88" s="92">
        <v>1</v>
      </c>
    </row>
    <row r="89" spans="1:8">
      <c r="A89" s="93" t="s">
        <v>1025</v>
      </c>
      <c r="B89" s="94" t="s">
        <v>1026</v>
      </c>
      <c r="C89" s="95" t="s">
        <v>1049</v>
      </c>
      <c r="D89" s="95">
        <v>43434</v>
      </c>
      <c r="E89" s="96">
        <v>43493</v>
      </c>
      <c r="F89" s="95">
        <v>43436</v>
      </c>
      <c r="G89" s="95">
        <v>43442</v>
      </c>
      <c r="H89" s="92">
        <v>5</v>
      </c>
    </row>
    <row r="90" spans="1:8">
      <c r="A90" s="93" t="s">
        <v>1025</v>
      </c>
      <c r="B90" s="94" t="s">
        <v>1026</v>
      </c>
      <c r="C90" s="95" t="s">
        <v>1049</v>
      </c>
      <c r="D90" s="95">
        <v>43434</v>
      </c>
      <c r="E90" s="96">
        <v>43493</v>
      </c>
      <c r="F90" s="95">
        <v>43443</v>
      </c>
      <c r="G90" s="95">
        <v>43449</v>
      </c>
      <c r="H90" s="92">
        <v>5</v>
      </c>
    </row>
    <row r="91" spans="1:8">
      <c r="A91" s="93" t="s">
        <v>1025</v>
      </c>
      <c r="B91" s="94" t="s">
        <v>1026</v>
      </c>
      <c r="C91" s="95" t="s">
        <v>1049</v>
      </c>
      <c r="D91" s="95">
        <v>43434</v>
      </c>
      <c r="E91" s="96">
        <v>43493</v>
      </c>
      <c r="F91" s="95">
        <v>43450</v>
      </c>
      <c r="G91" s="95">
        <v>43456</v>
      </c>
      <c r="H91" s="92">
        <v>5</v>
      </c>
    </row>
    <row r="92" spans="1:8">
      <c r="A92" s="93" t="s">
        <v>1025</v>
      </c>
      <c r="B92" s="94" t="s">
        <v>1026</v>
      </c>
      <c r="C92" s="95" t="s">
        <v>1049</v>
      </c>
      <c r="D92" s="95">
        <v>43434</v>
      </c>
      <c r="E92" s="96">
        <v>43493</v>
      </c>
      <c r="F92" s="95">
        <v>43457</v>
      </c>
      <c r="G92" s="95">
        <v>43463</v>
      </c>
      <c r="H92" s="92">
        <v>4</v>
      </c>
    </row>
    <row r="93" spans="1:8">
      <c r="A93" s="93" t="s">
        <v>1025</v>
      </c>
      <c r="B93" s="94" t="s">
        <v>1026</v>
      </c>
      <c r="C93" s="95" t="s">
        <v>1049</v>
      </c>
      <c r="D93" s="95">
        <v>43434</v>
      </c>
      <c r="E93" s="96">
        <v>43493</v>
      </c>
      <c r="F93" s="95">
        <v>43464</v>
      </c>
      <c r="G93" s="95">
        <v>43470</v>
      </c>
      <c r="H93" s="92">
        <v>4</v>
      </c>
    </row>
    <row r="94" spans="1:8">
      <c r="A94" s="93" t="s">
        <v>1025</v>
      </c>
      <c r="B94" s="94" t="s">
        <v>1026</v>
      </c>
      <c r="C94" s="95" t="s">
        <v>1049</v>
      </c>
      <c r="D94" s="95">
        <v>43434</v>
      </c>
      <c r="E94" s="96">
        <v>43493</v>
      </c>
      <c r="F94" s="95">
        <v>43471</v>
      </c>
      <c r="G94" s="95">
        <v>43477</v>
      </c>
      <c r="H94" s="92">
        <v>5</v>
      </c>
    </row>
    <row r="95" spans="1:8">
      <c r="A95" s="93" t="s">
        <v>1025</v>
      </c>
      <c r="B95" s="94" t="s">
        <v>1026</v>
      </c>
      <c r="C95" s="95" t="s">
        <v>1049</v>
      </c>
      <c r="D95" s="95">
        <v>43434</v>
      </c>
      <c r="E95" s="96">
        <v>43493</v>
      </c>
      <c r="F95" s="95">
        <v>43478</v>
      </c>
      <c r="G95" s="95">
        <v>43484</v>
      </c>
      <c r="H95" s="92">
        <v>5</v>
      </c>
    </row>
    <row r="96" spans="1:8">
      <c r="A96" s="93" t="s">
        <v>1025</v>
      </c>
      <c r="B96" s="94" t="s">
        <v>1026</v>
      </c>
      <c r="C96" s="95" t="s">
        <v>1049</v>
      </c>
      <c r="D96" s="95">
        <v>43434</v>
      </c>
      <c r="E96" s="96">
        <v>43493</v>
      </c>
      <c r="F96" s="95">
        <v>43485</v>
      </c>
      <c r="G96" s="95">
        <v>43491</v>
      </c>
      <c r="H96" s="92">
        <v>5</v>
      </c>
    </row>
    <row r="97" spans="1:8">
      <c r="A97" s="93" t="s">
        <v>1025</v>
      </c>
      <c r="B97" s="94" t="s">
        <v>1026</v>
      </c>
      <c r="C97" s="95" t="s">
        <v>1049</v>
      </c>
      <c r="D97" s="95">
        <v>43434</v>
      </c>
      <c r="E97" s="96">
        <v>43493</v>
      </c>
      <c r="F97" s="95">
        <v>43492</v>
      </c>
      <c r="G97" s="95">
        <v>43498</v>
      </c>
      <c r="H97" s="92">
        <v>1</v>
      </c>
    </row>
    <row r="98" spans="1:8">
      <c r="A98" s="93" t="s">
        <v>1027</v>
      </c>
      <c r="B98" s="94" t="s">
        <v>1028</v>
      </c>
      <c r="C98" s="95" t="s">
        <v>1050</v>
      </c>
      <c r="D98" s="95">
        <v>43448</v>
      </c>
      <c r="E98" s="96">
        <v>43493</v>
      </c>
      <c r="F98" s="95">
        <v>43443</v>
      </c>
      <c r="G98" s="95">
        <v>43449</v>
      </c>
      <c r="H98" s="92">
        <v>1</v>
      </c>
    </row>
    <row r="99" spans="1:8">
      <c r="A99" s="93" t="s">
        <v>1027</v>
      </c>
      <c r="B99" s="94" t="s">
        <v>1028</v>
      </c>
      <c r="C99" s="95" t="s">
        <v>1050</v>
      </c>
      <c r="D99" s="95">
        <v>43448</v>
      </c>
      <c r="E99" s="96">
        <v>43493</v>
      </c>
      <c r="F99" s="95">
        <v>43450</v>
      </c>
      <c r="G99" s="95">
        <v>43456</v>
      </c>
      <c r="H99" s="92">
        <v>5</v>
      </c>
    </row>
    <row r="100" spans="1:8">
      <c r="A100" s="93" t="s">
        <v>1027</v>
      </c>
      <c r="B100" s="94" t="s">
        <v>1028</v>
      </c>
      <c r="C100" s="95" t="s">
        <v>1050</v>
      </c>
      <c r="D100" s="95">
        <v>43448</v>
      </c>
      <c r="E100" s="96">
        <v>43493</v>
      </c>
      <c r="F100" s="95">
        <v>43457</v>
      </c>
      <c r="G100" s="95">
        <v>43463</v>
      </c>
      <c r="H100" s="92">
        <v>4</v>
      </c>
    </row>
    <row r="101" spans="1:8">
      <c r="A101" s="93" t="s">
        <v>1027</v>
      </c>
      <c r="B101" s="94" t="s">
        <v>1028</v>
      </c>
      <c r="C101" s="95" t="s">
        <v>1050</v>
      </c>
      <c r="D101" s="95">
        <v>43448</v>
      </c>
      <c r="E101" s="96">
        <v>43493</v>
      </c>
      <c r="F101" s="95">
        <v>43464</v>
      </c>
      <c r="G101" s="95">
        <v>43470</v>
      </c>
      <c r="H101" s="92">
        <v>4</v>
      </c>
    </row>
    <row r="102" spans="1:8">
      <c r="A102" s="93" t="s">
        <v>1027</v>
      </c>
      <c r="B102" s="94" t="s">
        <v>1028</v>
      </c>
      <c r="C102" s="95" t="s">
        <v>1050</v>
      </c>
      <c r="D102" s="95">
        <v>43448</v>
      </c>
      <c r="E102" s="96">
        <v>43493</v>
      </c>
      <c r="F102" s="95">
        <v>43471</v>
      </c>
      <c r="G102" s="95">
        <v>43477</v>
      </c>
      <c r="H102" s="92">
        <v>5</v>
      </c>
    </row>
    <row r="103" spans="1:8">
      <c r="A103" s="93" t="s">
        <v>1027</v>
      </c>
      <c r="B103" s="94" t="s">
        <v>1028</v>
      </c>
      <c r="C103" s="95" t="s">
        <v>1050</v>
      </c>
      <c r="D103" s="95">
        <v>43448</v>
      </c>
      <c r="E103" s="96">
        <v>43493</v>
      </c>
      <c r="F103" s="95">
        <v>43478</v>
      </c>
      <c r="G103" s="95">
        <v>43484</v>
      </c>
      <c r="H103" s="92">
        <v>5</v>
      </c>
    </row>
    <row r="104" spans="1:8">
      <c r="A104" s="93" t="s">
        <v>1027</v>
      </c>
      <c r="B104" s="94" t="s">
        <v>1028</v>
      </c>
      <c r="C104" s="95" t="s">
        <v>1050</v>
      </c>
      <c r="D104" s="95">
        <v>43448</v>
      </c>
      <c r="E104" s="96">
        <v>43493</v>
      </c>
      <c r="F104" s="95">
        <v>43485</v>
      </c>
      <c r="G104" s="95">
        <v>43491</v>
      </c>
      <c r="H104" s="92">
        <v>5</v>
      </c>
    </row>
    <row r="105" spans="1:8">
      <c r="A105" s="93" t="s">
        <v>1027</v>
      </c>
      <c r="B105" s="94" t="s">
        <v>1028</v>
      </c>
      <c r="C105" s="95" t="s">
        <v>1050</v>
      </c>
      <c r="D105" s="95">
        <v>43448</v>
      </c>
      <c r="E105" s="96">
        <v>43493</v>
      </c>
      <c r="F105" s="95">
        <v>43492</v>
      </c>
      <c r="G105" s="95">
        <v>43498</v>
      </c>
      <c r="H105" s="92">
        <v>1</v>
      </c>
    </row>
    <row r="106" spans="1:8">
      <c r="A106" s="93" t="s">
        <v>1029</v>
      </c>
      <c r="B106" s="94" t="s">
        <v>1030</v>
      </c>
      <c r="C106" s="95" t="s">
        <v>1048</v>
      </c>
      <c r="D106" s="95">
        <v>43476</v>
      </c>
      <c r="E106" s="96">
        <v>43494</v>
      </c>
      <c r="F106" s="95">
        <v>43471</v>
      </c>
      <c r="G106" s="95">
        <v>43477</v>
      </c>
      <c r="H106" s="92">
        <v>1</v>
      </c>
    </row>
    <row r="107" spans="1:8">
      <c r="A107" s="93" t="s">
        <v>1029</v>
      </c>
      <c r="B107" s="94" t="s">
        <v>1030</v>
      </c>
      <c r="C107" s="95" t="s">
        <v>1048</v>
      </c>
      <c r="D107" s="95">
        <v>43476</v>
      </c>
      <c r="E107" s="96">
        <v>43494</v>
      </c>
      <c r="F107" s="95">
        <v>43478</v>
      </c>
      <c r="G107" s="95">
        <v>43484</v>
      </c>
      <c r="H107" s="92">
        <v>5</v>
      </c>
    </row>
    <row r="108" spans="1:8">
      <c r="A108" s="93" t="s">
        <v>1029</v>
      </c>
      <c r="B108" s="94" t="s">
        <v>1030</v>
      </c>
      <c r="C108" s="95" t="s">
        <v>1048</v>
      </c>
      <c r="D108" s="95">
        <v>43476</v>
      </c>
      <c r="E108" s="96">
        <v>43494</v>
      </c>
      <c r="F108" s="95">
        <v>43485</v>
      </c>
      <c r="G108" s="95">
        <v>43491</v>
      </c>
      <c r="H108" s="92">
        <v>5</v>
      </c>
    </row>
    <row r="109" spans="1:8">
      <c r="A109" s="93" t="s">
        <v>1029</v>
      </c>
      <c r="B109" s="94" t="s">
        <v>1030</v>
      </c>
      <c r="C109" s="95" t="s">
        <v>1048</v>
      </c>
      <c r="D109" s="95">
        <v>43476</v>
      </c>
      <c r="E109" s="96">
        <v>43494</v>
      </c>
      <c r="F109" s="95">
        <v>43492</v>
      </c>
      <c r="G109" s="95">
        <v>43498</v>
      </c>
      <c r="H109" s="92">
        <v>2</v>
      </c>
    </row>
    <row r="110" spans="1:8">
      <c r="A110" s="93" t="s">
        <v>1031</v>
      </c>
      <c r="B110" s="94" t="s">
        <v>1032</v>
      </c>
      <c r="C110" s="95" t="s">
        <v>1048</v>
      </c>
      <c r="D110" s="95">
        <v>43497</v>
      </c>
      <c r="E110" s="96">
        <v>43501</v>
      </c>
      <c r="F110" s="95">
        <v>43492</v>
      </c>
      <c r="G110" s="95">
        <v>43498</v>
      </c>
      <c r="H110" s="92">
        <v>1</v>
      </c>
    </row>
    <row r="111" spans="1:8">
      <c r="A111" s="93" t="s">
        <v>1031</v>
      </c>
      <c r="B111" s="94" t="s">
        <v>1032</v>
      </c>
      <c r="C111" s="95" t="s">
        <v>1048</v>
      </c>
      <c r="D111" s="95">
        <v>43497</v>
      </c>
      <c r="E111" s="96">
        <v>43501</v>
      </c>
      <c r="F111" s="95">
        <v>43499</v>
      </c>
      <c r="G111" s="95">
        <v>43505</v>
      </c>
      <c r="H111" s="92">
        <v>0</v>
      </c>
    </row>
    <row r="112" spans="1:8">
      <c r="A112" s="93" t="s">
        <v>1034</v>
      </c>
      <c r="B112" s="94" t="s">
        <v>1035</v>
      </c>
      <c r="C112" s="95" t="s">
        <v>1048</v>
      </c>
      <c r="D112" s="95">
        <v>43497</v>
      </c>
      <c r="E112" s="96">
        <v>43499</v>
      </c>
      <c r="F112" s="95">
        <v>43492</v>
      </c>
      <c r="G112" s="95">
        <v>43498</v>
      </c>
      <c r="H112" s="92">
        <v>1</v>
      </c>
    </row>
    <row r="113" spans="1:8">
      <c r="A113" s="93" t="s">
        <v>1034</v>
      </c>
      <c r="B113" s="94" t="s">
        <v>1035</v>
      </c>
      <c r="C113" s="95" t="s">
        <v>1048</v>
      </c>
      <c r="D113" s="95">
        <v>43497</v>
      </c>
      <c r="E113" s="96">
        <v>43499</v>
      </c>
      <c r="F113" s="95">
        <v>43499</v>
      </c>
      <c r="G113" s="95">
        <v>43505</v>
      </c>
      <c r="H113" s="92">
        <v>0</v>
      </c>
    </row>
    <row r="114" spans="1:8">
      <c r="A114" s="93" t="s">
        <v>1036</v>
      </c>
      <c r="B114" s="94" t="s">
        <v>1037</v>
      </c>
      <c r="C114" s="95" t="s">
        <v>1048</v>
      </c>
      <c r="D114" s="95">
        <v>43501</v>
      </c>
      <c r="E114" s="96">
        <v>43503</v>
      </c>
      <c r="F114" s="95">
        <v>43499</v>
      </c>
      <c r="G114" s="95">
        <v>43505</v>
      </c>
      <c r="H114" s="92">
        <v>0.5</v>
      </c>
    </row>
    <row r="115" spans="1:8">
      <c r="A115" s="93" t="s">
        <v>1036</v>
      </c>
      <c r="B115" s="94" t="s">
        <v>1037</v>
      </c>
      <c r="C115" s="95" t="s">
        <v>1047</v>
      </c>
      <c r="D115" s="95">
        <v>43501</v>
      </c>
      <c r="E115" s="96">
        <v>43503</v>
      </c>
      <c r="F115" s="95">
        <v>43499</v>
      </c>
      <c r="G115" s="95">
        <v>43505</v>
      </c>
      <c r="H115" s="92">
        <v>0.5</v>
      </c>
    </row>
    <row r="116" spans="1:8">
      <c r="A116" s="93" t="s">
        <v>1038</v>
      </c>
      <c r="B116" s="94" t="s">
        <v>1039</v>
      </c>
      <c r="C116" s="95" t="s">
        <v>1048</v>
      </c>
      <c r="D116" s="95">
        <v>43501</v>
      </c>
      <c r="E116" s="96">
        <v>43503</v>
      </c>
      <c r="F116" s="95">
        <v>43499</v>
      </c>
      <c r="G116" s="95">
        <v>43505</v>
      </c>
      <c r="H116" s="92">
        <v>0.5</v>
      </c>
    </row>
    <row r="117" spans="1:8">
      <c r="A117" s="93" t="s">
        <v>1038</v>
      </c>
      <c r="B117" s="94" t="s">
        <v>1039</v>
      </c>
      <c r="C117" s="95" t="s">
        <v>1049</v>
      </c>
      <c r="D117" s="95">
        <v>43501</v>
      </c>
      <c r="E117" s="96">
        <v>43503</v>
      </c>
      <c r="F117" s="95">
        <v>43499</v>
      </c>
      <c r="G117" s="95">
        <v>43505</v>
      </c>
      <c r="H117" s="92">
        <v>0.5</v>
      </c>
    </row>
    <row r="118" spans="1:8">
      <c r="A118" s="93" t="s">
        <v>1040</v>
      </c>
      <c r="B118" s="94" t="s">
        <v>1041</v>
      </c>
      <c r="C118" s="95" t="s">
        <v>1048</v>
      </c>
      <c r="D118" s="95">
        <v>43501</v>
      </c>
      <c r="E118" s="96">
        <v>43503</v>
      </c>
      <c r="F118" s="95">
        <v>43499</v>
      </c>
      <c r="G118" s="95">
        <v>43505</v>
      </c>
      <c r="H118" s="92">
        <v>0.5</v>
      </c>
    </row>
    <row r="119" spans="1:8">
      <c r="A119" s="93" t="s">
        <v>1040</v>
      </c>
      <c r="B119" s="94" t="s">
        <v>1041</v>
      </c>
      <c r="C119" s="95" t="s">
        <v>1049</v>
      </c>
      <c r="D119" s="95">
        <v>43501</v>
      </c>
      <c r="E119" s="96">
        <v>43503</v>
      </c>
      <c r="F119" s="95">
        <v>43499</v>
      </c>
      <c r="G119" s="95">
        <v>43505</v>
      </c>
      <c r="H119" s="92">
        <v>0.5</v>
      </c>
    </row>
    <row r="120" spans="1:8">
      <c r="A120" s="93" t="s">
        <v>1042</v>
      </c>
      <c r="B120" s="94" t="s">
        <v>1043</v>
      </c>
      <c r="C120" s="95" t="s">
        <v>1048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outlinePr summaryBelow="0"/>
    <pageSetUpPr fitToPage="1"/>
  </sheetPr>
  <dimension ref="A1:FE203"/>
  <sheetViews>
    <sheetView tabSelected="1" zoomScaleNormal="115" zoomScalePageLayoutView="55" workbookViewId="0">
      <pane ySplit="4" topLeftCell="A5" activePane="bottomLeft" state="frozen"/>
      <selection activeCell="E5" sqref="E5"/>
      <selection pane="bottomLeft" activeCell="Z15" sqref="Z1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7.8984375" style="6" customWidth="1"/>
    <col min="12" max="12" width="25" style="6" bestFit="1"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19.3984375" style="8" customWidth="1"/>
    <col min="26" max="26" width="22.19921875" style="14" customWidth="1"/>
    <col min="27" max="27" width="7" style="15" customWidth="1"/>
    <col min="28" max="28" width="7.09765625" style="16" customWidth="1"/>
    <col min="29" max="161" width="1.8984375" style="114" customWidth="1"/>
    <col min="162" max="16384" width="10" style="114"/>
  </cols>
  <sheetData>
    <row r="1" spans="1:161" s="158" customFormat="1" ht="19.95" customHeight="1">
      <c r="A1" s="141"/>
      <c r="B1" s="151"/>
      <c r="C1" s="142"/>
      <c r="D1" s="143" t="str">
        <f ca="1">xlgantt.ProjectName()</f>
        <v>리듬타타키</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2019-02-18~2019-06-26 [계획:61.90% 실적:46.96%]</v>
      </c>
      <c r="AC1" s="269" t="s">
        <v>1086</v>
      </c>
      <c r="AD1" s="269"/>
      <c r="AE1" s="269"/>
      <c r="AF1" s="269"/>
      <c r="AG1" s="269"/>
      <c r="AH1" s="269"/>
      <c r="AI1" s="269"/>
      <c r="AJ1" s="269"/>
      <c r="AK1" s="269"/>
      <c r="AL1" s="269"/>
      <c r="AM1" s="269"/>
      <c r="AN1" s="269"/>
      <c r="AO1" s="269"/>
      <c r="AP1" s="269"/>
      <c r="AQ1" s="269"/>
      <c r="AR1" s="269"/>
      <c r="AS1" s="269"/>
      <c r="AT1" s="269"/>
      <c r="AU1" s="269"/>
      <c r="AV1" s="269"/>
      <c r="AW1" s="269"/>
      <c r="AX1" s="269"/>
      <c r="AY1" s="269"/>
      <c r="AZ1" s="269"/>
      <c r="BA1" s="269"/>
      <c r="BB1" s="269"/>
      <c r="BC1" s="269"/>
      <c r="BD1" s="269"/>
      <c r="BE1" s="269"/>
      <c r="BF1" s="269"/>
      <c r="BG1" s="269"/>
      <c r="BH1" s="269"/>
      <c r="BI1" s="269"/>
      <c r="BJ1" s="269"/>
      <c r="BK1" s="269"/>
      <c r="BL1" s="269"/>
      <c r="BM1" s="269"/>
      <c r="BN1" s="269"/>
      <c r="BO1" s="269"/>
      <c r="BP1" s="269"/>
      <c r="BQ1" s="269"/>
      <c r="BR1" s="269"/>
      <c r="BS1" s="269"/>
      <c r="BT1" s="269"/>
      <c r="BU1" s="269"/>
      <c r="BV1" s="269"/>
      <c r="BW1" s="269"/>
      <c r="BX1" s="269"/>
      <c r="BY1" s="269"/>
      <c r="BZ1" s="269"/>
      <c r="CA1" s="269"/>
    </row>
    <row r="2" spans="1:161" s="158" customFormat="1" ht="15" customHeight="1">
      <c r="A2" s="159"/>
      <c r="B2" s="159"/>
      <c r="C2" s="160"/>
      <c r="D2" s="255"/>
      <c r="E2" s="255"/>
      <c r="F2" s="255"/>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1101</v>
      </c>
    </row>
    <row r="3" spans="1:161" s="1" customFormat="1" ht="19.95" customHeight="1">
      <c r="A3" s="259" t="s">
        <v>1121</v>
      </c>
      <c r="B3" s="256" t="s">
        <v>1394</v>
      </c>
      <c r="C3" s="262" t="s">
        <v>1403</v>
      </c>
      <c r="D3" s="263" t="s">
        <v>1404</v>
      </c>
      <c r="E3" s="264" t="s">
        <v>1405</v>
      </c>
      <c r="F3" s="265"/>
      <c r="G3" s="265"/>
      <c r="H3" s="265"/>
      <c r="I3" s="265"/>
      <c r="J3" s="265"/>
      <c r="K3" s="266"/>
      <c r="L3" s="250" t="s">
        <v>1395</v>
      </c>
      <c r="M3" s="250" t="s">
        <v>1406</v>
      </c>
      <c r="N3" s="250" t="s">
        <v>1407</v>
      </c>
      <c r="O3" s="257" t="s">
        <v>1408</v>
      </c>
      <c r="P3" s="258" t="s">
        <v>1396</v>
      </c>
      <c r="Q3" s="258" t="s">
        <v>1392</v>
      </c>
      <c r="R3" s="258" t="s">
        <v>1409</v>
      </c>
      <c r="S3" s="258" t="s">
        <v>1393</v>
      </c>
      <c r="T3" s="249" t="s">
        <v>1410</v>
      </c>
      <c r="U3" s="249" t="s">
        <v>1397</v>
      </c>
      <c r="V3" s="251" t="s">
        <v>1411</v>
      </c>
      <c r="W3" s="252" t="s">
        <v>1398</v>
      </c>
      <c r="X3" s="253" t="s">
        <v>1412</v>
      </c>
      <c r="Y3" s="250" t="s">
        <v>1413</v>
      </c>
      <c r="Z3" s="256" t="s">
        <v>1414</v>
      </c>
      <c r="AA3" s="254" t="s">
        <v>1399</v>
      </c>
      <c r="AB3" s="248" t="s">
        <v>1400</v>
      </c>
      <c r="AC3" s="267">
        <v>43513</v>
      </c>
      <c r="AD3" s="268"/>
      <c r="AE3" s="268"/>
      <c r="AF3" s="268"/>
      <c r="AG3" s="268">
        <v>43541</v>
      </c>
      <c r="AH3" s="268"/>
      <c r="AI3" s="268"/>
      <c r="AJ3" s="268"/>
      <c r="AK3" s="268">
        <v>43569</v>
      </c>
      <c r="AL3" s="268"/>
      <c r="AM3" s="268"/>
      <c r="AN3" s="268"/>
      <c r="AO3" s="268">
        <v>43597</v>
      </c>
      <c r="AP3" s="268"/>
      <c r="AQ3" s="268"/>
      <c r="AR3" s="268"/>
      <c r="AS3" s="268">
        <v>43625</v>
      </c>
      <c r="AT3" s="268"/>
      <c r="AU3" s="268"/>
      <c r="AV3" s="270"/>
    </row>
    <row r="4" spans="1:161" s="2" customFormat="1" ht="4.95" customHeight="1">
      <c r="A4" s="260"/>
      <c r="B4" s="261"/>
      <c r="C4" s="259"/>
      <c r="D4" s="263"/>
      <c r="E4" s="264"/>
      <c r="F4" s="265"/>
      <c r="G4" s="265"/>
      <c r="H4" s="265"/>
      <c r="I4" s="265"/>
      <c r="J4" s="265"/>
      <c r="K4" s="266"/>
      <c r="L4" s="250"/>
      <c r="M4" s="250"/>
      <c r="N4" s="250"/>
      <c r="O4" s="257"/>
      <c r="P4" s="258"/>
      <c r="Q4" s="258"/>
      <c r="R4" s="258"/>
      <c r="S4" s="258"/>
      <c r="T4" s="250"/>
      <c r="U4" s="250"/>
      <c r="V4" s="251"/>
      <c r="W4" s="252"/>
      <c r="X4" s="253"/>
      <c r="Y4" s="250"/>
      <c r="Z4" s="256"/>
      <c r="AA4" s="254"/>
      <c r="AB4" s="248"/>
      <c r="AC4" s="112">
        <v>43513</v>
      </c>
      <c r="AD4" s="113">
        <v>43520</v>
      </c>
      <c r="AE4" s="113">
        <v>43527</v>
      </c>
      <c r="AF4" s="113">
        <v>43534</v>
      </c>
      <c r="AG4" s="113">
        <v>43541</v>
      </c>
      <c r="AH4" s="113">
        <v>43548</v>
      </c>
      <c r="AI4" s="113">
        <v>43555</v>
      </c>
      <c r="AJ4" s="113">
        <v>43562</v>
      </c>
      <c r="AK4" s="113">
        <v>43569</v>
      </c>
      <c r="AL4" s="113">
        <v>43576</v>
      </c>
      <c r="AM4" s="113">
        <v>43583</v>
      </c>
      <c r="AN4" s="113">
        <v>43590</v>
      </c>
      <c r="AO4" s="113">
        <v>43597</v>
      </c>
      <c r="AP4" s="113">
        <v>43604</v>
      </c>
      <c r="AQ4" s="113">
        <v>43611</v>
      </c>
      <c r="AR4" s="113">
        <v>43618</v>
      </c>
      <c r="AS4" s="113">
        <v>43625</v>
      </c>
      <c r="AT4" s="113">
        <v>43632</v>
      </c>
      <c r="AU4" s="113">
        <v>43639</v>
      </c>
      <c r="AV4" s="115"/>
      <c r="AW4" s="121"/>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row>
    <row r="5" spans="1:161">
      <c r="A5" s="116"/>
      <c r="B5" s="116" t="s">
        <v>1071</v>
      </c>
      <c r="C5" s="116">
        <v>1</v>
      </c>
      <c r="D5" s="3" t="s">
        <v>1072</v>
      </c>
      <c r="E5" s="184" t="s">
        <v>538</v>
      </c>
      <c r="F5" s="184"/>
      <c r="G5" s="184"/>
      <c r="H5" s="184"/>
      <c r="I5" s="184"/>
      <c r="J5" s="184"/>
      <c r="K5" s="184"/>
      <c r="L5" s="184"/>
      <c r="M5" s="185">
        <v>43514</v>
      </c>
      <c r="N5" s="185">
        <v>43642</v>
      </c>
      <c r="O5" s="186"/>
      <c r="P5" s="187">
        <v>27</v>
      </c>
      <c r="Q5" s="187">
        <v>19</v>
      </c>
      <c r="R5" s="188">
        <v>126</v>
      </c>
      <c r="S5" s="188">
        <v>40</v>
      </c>
      <c r="T5" s="185"/>
      <c r="U5" s="185"/>
      <c r="V5" s="189">
        <v>0</v>
      </c>
      <c r="W5" s="190">
        <v>0</v>
      </c>
      <c r="X5" s="191"/>
      <c r="Y5" s="186"/>
      <c r="Z5" s="192"/>
      <c r="AA5" s="97">
        <v>0.70370370370370372</v>
      </c>
      <c r="AB5" s="193">
        <v>0.70370370370370372</v>
      </c>
      <c r="AC5" s="123"/>
      <c r="AD5" s="4"/>
      <c r="AE5" s="4"/>
      <c r="AF5" s="4"/>
      <c r="AG5" s="4"/>
      <c r="AH5" s="4"/>
      <c r="AI5" s="4"/>
      <c r="AJ5" s="4"/>
      <c r="AK5" s="4"/>
      <c r="AL5" s="4"/>
      <c r="AM5" s="4"/>
      <c r="AN5" s="4"/>
      <c r="AO5" s="4"/>
      <c r="AP5" s="4" t="str">
        <f>" " &amp; TEXT(AB5,"#0.00%") &amp; " "</f>
        <v xml:space="preserve"> 70.37% </v>
      </c>
      <c r="AQ5" s="4"/>
      <c r="AR5" s="4"/>
      <c r="AS5" s="4"/>
      <c r="AT5" s="4"/>
      <c r="AU5" s="4" t="str">
        <f>"    " &amp; "프로젝트 관리" &amp; " " &amp; IF(M5="","",TEXT(M5,"M/D-")) &amp; IF(N5="","",TEXT(N5,"M/D")) &amp; " "</f>
        <v xml:space="preserve">    프로젝트 관리 2/18-6/26 </v>
      </c>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row>
    <row r="6" spans="1:161" outlineLevel="1">
      <c r="A6" s="116"/>
      <c r="B6" s="116" t="s">
        <v>1071</v>
      </c>
      <c r="C6" s="116">
        <v>2</v>
      </c>
      <c r="D6" s="3" t="s">
        <v>1073</v>
      </c>
      <c r="E6" s="184"/>
      <c r="F6" s="184" t="s">
        <v>913</v>
      </c>
      <c r="G6" s="184"/>
      <c r="H6" s="184"/>
      <c r="I6" s="184"/>
      <c r="J6" s="184"/>
      <c r="K6" s="184"/>
      <c r="L6" s="184"/>
      <c r="M6" s="185">
        <v>43514</v>
      </c>
      <c r="N6" s="185">
        <v>43532</v>
      </c>
      <c r="O6" s="186"/>
      <c r="P6" s="187">
        <v>19</v>
      </c>
      <c r="Q6" s="187">
        <v>19</v>
      </c>
      <c r="R6" s="188">
        <v>18</v>
      </c>
      <c r="S6" s="188">
        <v>18</v>
      </c>
      <c r="T6" s="185"/>
      <c r="U6" s="185"/>
      <c r="V6" s="189">
        <v>0</v>
      </c>
      <c r="W6" s="190">
        <v>0</v>
      </c>
      <c r="X6" s="191"/>
      <c r="Y6" s="186"/>
      <c r="Z6" s="192"/>
      <c r="AA6" s="97">
        <v>1</v>
      </c>
      <c r="AB6" s="193">
        <v>1</v>
      </c>
      <c r="AC6" s="123"/>
      <c r="AD6" s="4"/>
      <c r="AE6" s="4" t="str">
        <f>"      " &amp; TEXT(AB6,"#0.00%") &amp; " " &amp; "프로젝트 착수 및 계획수립" &amp; " " &amp; IF(M6="","",TEXT(M6,"M/D-")) &amp; IF(N6="","",TEXT(N6,"M/D")) &amp; " "</f>
        <v xml:space="preserve">      100.00% 프로젝트 착수 및 계획수립 2/18-3/8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row>
    <row r="7" spans="1:161" outlineLevel="2">
      <c r="A7" s="116"/>
      <c r="B7" s="116"/>
      <c r="C7" s="116">
        <v>3</v>
      </c>
      <c r="D7" s="3" t="s">
        <v>990</v>
      </c>
      <c r="E7" s="184"/>
      <c r="F7" s="184"/>
      <c r="G7" s="184" t="s">
        <v>0</v>
      </c>
      <c r="H7" s="184"/>
      <c r="I7" s="184"/>
      <c r="J7" s="184"/>
      <c r="K7" s="184"/>
      <c r="L7" s="184"/>
      <c r="M7" s="185">
        <v>43514</v>
      </c>
      <c r="N7" s="185">
        <v>43514</v>
      </c>
      <c r="O7" s="186"/>
      <c r="P7" s="187">
        <v>1</v>
      </c>
      <c r="Q7" s="187">
        <v>1</v>
      </c>
      <c r="R7" s="188">
        <v>1</v>
      </c>
      <c r="S7" s="188">
        <v>1</v>
      </c>
      <c r="T7" s="185">
        <v>43305</v>
      </c>
      <c r="U7" s="185">
        <v>43306</v>
      </c>
      <c r="V7" s="189">
        <v>2</v>
      </c>
      <c r="W7" s="190">
        <v>2</v>
      </c>
      <c r="X7" s="191">
        <v>1</v>
      </c>
      <c r="Y7" s="216" t="s">
        <v>1123</v>
      </c>
      <c r="Z7" s="192"/>
      <c r="AA7" s="97">
        <v>1</v>
      </c>
      <c r="AB7" s="193">
        <v>1</v>
      </c>
      <c r="AC7" s="123" t="str">
        <f>"  " &amp; TEXT(AB7,"#0.00%") &amp; " " &amp; "프로젝트 착수" &amp; "(김도형)" &amp; " " &amp; IF(M7="","",TEXT(M7,"M/D-")) &amp; IF(N7="","",TEXT(N7,"M/D")) &amp; " "</f>
        <v xml:space="preserve">  100.00% 프로젝트 착수(김도형) 2/18-2/18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row>
    <row r="8" spans="1:161" outlineLevel="2">
      <c r="A8" s="116"/>
      <c r="B8" s="116" t="s">
        <v>1071</v>
      </c>
      <c r="C8" s="116">
        <v>3</v>
      </c>
      <c r="D8" s="3" t="s">
        <v>1074</v>
      </c>
      <c r="E8" s="184"/>
      <c r="F8" s="184"/>
      <c r="G8" s="184" t="s">
        <v>914</v>
      </c>
      <c r="H8" s="184"/>
      <c r="I8" s="184"/>
      <c r="J8" s="184"/>
      <c r="K8" s="184"/>
      <c r="L8" s="184"/>
      <c r="M8" s="185">
        <v>43514</v>
      </c>
      <c r="N8" s="185">
        <v>43532</v>
      </c>
      <c r="O8" s="186"/>
      <c r="P8" s="187">
        <v>18</v>
      </c>
      <c r="Q8" s="187">
        <v>18</v>
      </c>
      <c r="R8" s="188">
        <v>18</v>
      </c>
      <c r="S8" s="188">
        <v>18</v>
      </c>
      <c r="T8" s="185"/>
      <c r="U8" s="185"/>
      <c r="V8" s="189">
        <v>0</v>
      </c>
      <c r="W8" s="190">
        <v>0</v>
      </c>
      <c r="X8" s="191"/>
      <c r="Y8" s="216" t="s">
        <v>1124</v>
      </c>
      <c r="Z8" s="192"/>
      <c r="AA8" s="97">
        <v>1</v>
      </c>
      <c r="AB8" s="193">
        <v>1</v>
      </c>
      <c r="AC8" s="123"/>
      <c r="AD8" s="4"/>
      <c r="AE8" s="4" t="str">
        <f>"      " &amp; TEXT(AB8,"#0.00%") &amp; " " &amp; "프로젝트 범위정의" &amp; "(전체)" &amp; " " &amp; IF(M8="","",TEXT(M8,"M/D-")) &amp; IF(N8="","",TEXT(N8,"M/D")) &amp; " "</f>
        <v xml:space="preserve">      100.00% 프로젝트 범위정의(전체) 2/18-3/8 </v>
      </c>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row>
    <row r="9" spans="1:161" outlineLevel="3">
      <c r="A9" s="116"/>
      <c r="B9" s="116"/>
      <c r="C9" s="116">
        <v>4</v>
      </c>
      <c r="D9" s="3" t="s">
        <v>449</v>
      </c>
      <c r="E9" s="184"/>
      <c r="F9" s="184"/>
      <c r="G9" s="184"/>
      <c r="H9" s="184" t="s">
        <v>427</v>
      </c>
      <c r="I9" s="184"/>
      <c r="J9" s="184"/>
      <c r="K9" s="184"/>
      <c r="L9" s="184"/>
      <c r="M9" s="185">
        <v>43514</v>
      </c>
      <c r="N9" s="185">
        <v>43532</v>
      </c>
      <c r="O9" s="186"/>
      <c r="P9" s="187">
        <v>18</v>
      </c>
      <c r="Q9" s="187">
        <v>18</v>
      </c>
      <c r="R9" s="188">
        <v>18</v>
      </c>
      <c r="S9" s="188">
        <v>18</v>
      </c>
      <c r="T9" s="185">
        <v>43309</v>
      </c>
      <c r="U9" s="185">
        <v>43315</v>
      </c>
      <c r="V9" s="189">
        <v>7</v>
      </c>
      <c r="W9" s="190">
        <v>7</v>
      </c>
      <c r="X9" s="191">
        <v>1</v>
      </c>
      <c r="Y9" s="216" t="s">
        <v>1123</v>
      </c>
      <c r="Z9" s="192" t="s">
        <v>1136</v>
      </c>
      <c r="AA9" s="97">
        <v>1</v>
      </c>
      <c r="AB9" s="193">
        <v>1</v>
      </c>
      <c r="AC9" s="123"/>
      <c r="AD9" s="4"/>
      <c r="AE9" s="4" t="str">
        <f>"      " &amp; TEXT(AB9,"#0.00%") &amp; " " &amp; "프로젝트 계획 수립" &amp; "(김도형)" &amp; " " &amp; IF(M9="","",TEXT(M9,"M/D-")) &amp; IF(N9="","",TEXT(N9,"M/D")) &amp; " "</f>
        <v xml:space="preserve">      100.00% 프로젝트 계획 수립(김도형) 2/18-3/8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row>
    <row r="10" spans="1:161" outlineLevel="3">
      <c r="A10" s="116"/>
      <c r="B10" s="116"/>
      <c r="C10" s="116">
        <v>0</v>
      </c>
      <c r="D10" s="3"/>
      <c r="E10" s="184"/>
      <c r="F10" s="184"/>
      <c r="G10" s="184"/>
      <c r="H10" s="184"/>
      <c r="I10" s="184"/>
      <c r="J10" s="184"/>
      <c r="K10" s="184"/>
      <c r="L10" s="184"/>
      <c r="M10" s="185"/>
      <c r="N10" s="185"/>
      <c r="O10" s="186"/>
      <c r="P10" s="187"/>
      <c r="Q10" s="187"/>
      <c r="R10" s="188">
        <v>0</v>
      </c>
      <c r="S10" s="188">
        <v>0</v>
      </c>
      <c r="T10" s="185"/>
      <c r="U10" s="185"/>
      <c r="V10" s="189"/>
      <c r="W10" s="190">
        <v>0</v>
      </c>
      <c r="X10" s="191"/>
      <c r="Y10" s="186"/>
      <c r="Z10" s="192"/>
      <c r="AA10" s="97"/>
      <c r="AB10" s="193"/>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row>
    <row r="11" spans="1:161" outlineLevel="1">
      <c r="A11" s="116"/>
      <c r="B11" s="116" t="s">
        <v>1071</v>
      </c>
      <c r="C11" s="116">
        <v>2</v>
      </c>
      <c r="D11" s="3" t="s">
        <v>1075</v>
      </c>
      <c r="E11" s="184"/>
      <c r="F11" s="184" t="s">
        <v>993</v>
      </c>
      <c r="G11" s="184"/>
      <c r="H11" s="184"/>
      <c r="I11" s="184"/>
      <c r="J11" s="184"/>
      <c r="K11" s="184"/>
      <c r="L11" s="184"/>
      <c r="M11" s="185">
        <v>43636</v>
      </c>
      <c r="N11" s="185">
        <v>43642</v>
      </c>
      <c r="O11" s="186"/>
      <c r="P11" s="187">
        <v>8</v>
      </c>
      <c r="Q11" s="187">
        <v>0</v>
      </c>
      <c r="R11" s="188">
        <v>7</v>
      </c>
      <c r="S11" s="188">
        <v>0</v>
      </c>
      <c r="T11" s="185"/>
      <c r="U11" s="185"/>
      <c r="V11" s="189">
        <v>0</v>
      </c>
      <c r="W11" s="190">
        <v>0</v>
      </c>
      <c r="X11" s="191"/>
      <c r="Y11" s="186"/>
      <c r="Z11" s="192"/>
      <c r="AA11" s="97">
        <v>0</v>
      </c>
      <c r="AB11" s="193">
        <v>0</v>
      </c>
      <c r="AC11" s="123"/>
      <c r="AD11" s="4"/>
      <c r="AE11" s="4"/>
      <c r="AF11" s="4"/>
      <c r="AG11" s="4"/>
      <c r="AH11" s="4"/>
      <c r="AI11" s="4"/>
      <c r="AJ11" s="4"/>
      <c r="AK11" s="4"/>
      <c r="AL11" s="4"/>
      <c r="AM11" s="4"/>
      <c r="AN11" s="4"/>
      <c r="AO11" s="4"/>
      <c r="AP11" s="4"/>
      <c r="AQ11" s="4"/>
      <c r="AR11" s="4"/>
      <c r="AS11" s="4"/>
      <c r="AT11" s="4" t="str">
        <f>"    " &amp; TEXT(AB11,"#0.00%") &amp; " " &amp; "프로젝트 종료" &amp; " " &amp; IF(M11="","",TEXT(M11,"M/D-")) &amp; IF(N11="","",TEXT(N11,"M/D")) &amp; " "</f>
        <v xml:space="preserve">    0.00% 프로젝트 종료 6/20-6/26 </v>
      </c>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row>
    <row r="12" spans="1:161" outlineLevel="2">
      <c r="A12" s="116"/>
      <c r="B12" s="116"/>
      <c r="C12" s="116">
        <v>3</v>
      </c>
      <c r="D12" s="3" t="s">
        <v>431</v>
      </c>
      <c r="E12" s="184"/>
      <c r="F12" s="184"/>
      <c r="G12" s="184" t="s">
        <v>442</v>
      </c>
      <c r="H12" s="184"/>
      <c r="I12" s="184"/>
      <c r="J12" s="184"/>
      <c r="K12" s="184"/>
      <c r="L12" s="184"/>
      <c r="M12" s="185">
        <v>43636</v>
      </c>
      <c r="N12" s="185">
        <v>43641</v>
      </c>
      <c r="O12" s="186"/>
      <c r="P12" s="187">
        <v>6</v>
      </c>
      <c r="Q12" s="187">
        <v>0</v>
      </c>
      <c r="R12" s="188">
        <v>6</v>
      </c>
      <c r="S12" s="188">
        <v>0</v>
      </c>
      <c r="T12" s="185"/>
      <c r="U12" s="185"/>
      <c r="V12" s="189"/>
      <c r="W12" s="190">
        <v>0</v>
      </c>
      <c r="X12" s="191">
        <v>1</v>
      </c>
      <c r="Y12" s="216" t="s">
        <v>1123</v>
      </c>
      <c r="Z12" s="192"/>
      <c r="AA12" s="97">
        <v>0</v>
      </c>
      <c r="AB12" s="193">
        <v>0</v>
      </c>
      <c r="AC12" s="123"/>
      <c r="AD12" s="4"/>
      <c r="AE12" s="4"/>
      <c r="AF12" s="4"/>
      <c r="AG12" s="4"/>
      <c r="AH12" s="4"/>
      <c r="AI12" s="4"/>
      <c r="AJ12" s="4"/>
      <c r="AK12" s="4"/>
      <c r="AL12" s="4"/>
      <c r="AM12" s="4"/>
      <c r="AN12" s="4"/>
      <c r="AO12" s="4"/>
      <c r="AP12" s="4"/>
      <c r="AQ12" s="4"/>
      <c r="AR12" s="4"/>
      <c r="AS12" s="4"/>
      <c r="AT12" s="4" t="str">
        <f>"    " &amp; TEXT(AB12,"#0.00%") &amp; " " &amp; "종료계획수립" &amp; "(김도형)" &amp; " " &amp; IF(M12="","",TEXT(M12,"M/D-")) &amp; IF(N12="","",TEXT(N12,"M/D")) &amp; " "</f>
        <v xml:space="preserve">    0.00% 종료계획수립(김도형) 6/20-6/25 </v>
      </c>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row>
    <row r="13" spans="1:161" outlineLevel="2">
      <c r="A13" s="116"/>
      <c r="B13" s="116"/>
      <c r="C13" s="116">
        <v>3</v>
      </c>
      <c r="D13" s="3" t="s">
        <v>432</v>
      </c>
      <c r="E13" s="184"/>
      <c r="F13" s="184"/>
      <c r="G13" s="184" t="s">
        <v>444</v>
      </c>
      <c r="H13" s="184"/>
      <c r="I13" s="184"/>
      <c r="J13" s="184"/>
      <c r="K13" s="184"/>
      <c r="L13" s="184"/>
      <c r="M13" s="185">
        <v>43642</v>
      </c>
      <c r="N13" s="185">
        <v>43642</v>
      </c>
      <c r="O13" s="186"/>
      <c r="P13" s="187">
        <v>1</v>
      </c>
      <c r="Q13" s="187">
        <v>0</v>
      </c>
      <c r="R13" s="188">
        <v>1</v>
      </c>
      <c r="S13" s="188">
        <v>0</v>
      </c>
      <c r="T13" s="185"/>
      <c r="U13" s="185"/>
      <c r="V13" s="189"/>
      <c r="W13" s="190">
        <v>0</v>
      </c>
      <c r="X13" s="191">
        <v>1</v>
      </c>
      <c r="Y13" s="216" t="s">
        <v>1123</v>
      </c>
      <c r="Z13" s="192"/>
      <c r="AA13" s="97">
        <v>0</v>
      </c>
      <c r="AB13" s="193">
        <v>0</v>
      </c>
      <c r="AC13" s="123"/>
      <c r="AD13" s="4"/>
      <c r="AE13" s="4"/>
      <c r="AF13" s="4"/>
      <c r="AG13" s="4"/>
      <c r="AH13" s="4"/>
      <c r="AI13" s="4"/>
      <c r="AJ13" s="4"/>
      <c r="AK13" s="4"/>
      <c r="AL13" s="4"/>
      <c r="AM13" s="4"/>
      <c r="AN13" s="4"/>
      <c r="AO13" s="4"/>
      <c r="AP13" s="4"/>
      <c r="AQ13" s="4"/>
      <c r="AR13" s="4"/>
      <c r="AS13" s="4"/>
      <c r="AT13" s="4"/>
      <c r="AU13" s="4" t="str">
        <f>"   " &amp; TEXT(AB13,"#0.00%") &amp; " " &amp; "종료보고" &amp; "(김도형)" &amp; " " &amp; IF(M13="","",TEXT(M13,"M/D-")) &amp; IF(N13="","",TEXT(N13,"M/D")) &amp; " "</f>
        <v xml:space="preserve">   0.00% 종료보고(김도형) 6/26-6/26 </v>
      </c>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row>
    <row r="14" spans="1:161" outlineLevel="2">
      <c r="A14" s="116"/>
      <c r="B14" s="116"/>
      <c r="C14" s="116">
        <v>3</v>
      </c>
      <c r="D14" s="3" t="s">
        <v>433</v>
      </c>
      <c r="E14" s="184"/>
      <c r="F14" s="184"/>
      <c r="G14" s="184" t="s">
        <v>445</v>
      </c>
      <c r="H14" s="184"/>
      <c r="I14" s="184"/>
      <c r="J14" s="184"/>
      <c r="K14" s="184"/>
      <c r="L14" s="184"/>
      <c r="M14" s="185">
        <v>43642</v>
      </c>
      <c r="N14" s="185">
        <v>43642</v>
      </c>
      <c r="O14" s="186"/>
      <c r="P14" s="187">
        <v>1</v>
      </c>
      <c r="Q14" s="187">
        <v>0</v>
      </c>
      <c r="R14" s="188">
        <v>1</v>
      </c>
      <c r="S14" s="188">
        <v>0</v>
      </c>
      <c r="T14" s="185"/>
      <c r="U14" s="185"/>
      <c r="V14" s="189"/>
      <c r="W14" s="190">
        <v>0</v>
      </c>
      <c r="X14" s="191">
        <v>1</v>
      </c>
      <c r="Y14" s="216" t="s">
        <v>1123</v>
      </c>
      <c r="Z14" s="192"/>
      <c r="AA14" s="97">
        <v>0</v>
      </c>
      <c r="AB14" s="193">
        <v>0</v>
      </c>
      <c r="AC14" s="123"/>
      <c r="AD14" s="4"/>
      <c r="AE14" s="4"/>
      <c r="AF14" s="4"/>
      <c r="AG14" s="4"/>
      <c r="AH14" s="4"/>
      <c r="AI14" s="4"/>
      <c r="AJ14" s="4"/>
      <c r="AK14" s="4"/>
      <c r="AL14" s="4"/>
      <c r="AM14" s="4"/>
      <c r="AN14" s="4"/>
      <c r="AO14" s="4"/>
      <c r="AP14" s="4"/>
      <c r="AQ14" s="4"/>
      <c r="AR14" s="4"/>
      <c r="AS14" s="4"/>
      <c r="AT14" s="4"/>
      <c r="AU14" s="4" t="str">
        <f>"   " &amp; TEXT(AB14,"#0.00%") &amp; " " &amp; "검수 및 종료" &amp; "(김도형)" &amp; " " &amp; IF(M14="","",TEXT(M14,"M/D-")) &amp; IF(N14="","",TEXT(N14,"M/D")) &amp; " "</f>
        <v xml:space="preserve">   0.00% 검수 및 종료(김도형) 6/26-6/26 </v>
      </c>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row>
    <row r="15" spans="1:161" outlineLevel="2">
      <c r="A15" s="116"/>
      <c r="B15" s="116"/>
      <c r="C15" s="116">
        <v>0</v>
      </c>
      <c r="D15" s="3"/>
      <c r="E15" s="184"/>
      <c r="F15" s="184"/>
      <c r="G15" s="184"/>
      <c r="H15" s="184"/>
      <c r="I15" s="184"/>
      <c r="J15" s="184"/>
      <c r="K15" s="184"/>
      <c r="L15" s="184"/>
      <c r="M15" s="185"/>
      <c r="N15" s="185"/>
      <c r="O15" s="186"/>
      <c r="P15" s="187"/>
      <c r="Q15" s="187"/>
      <c r="R15" s="188">
        <v>0</v>
      </c>
      <c r="S15" s="188">
        <v>0</v>
      </c>
      <c r="T15" s="185"/>
      <c r="U15" s="185"/>
      <c r="V15" s="189"/>
      <c r="W15" s="190">
        <v>0</v>
      </c>
      <c r="X15" s="191"/>
      <c r="Y15" s="186"/>
      <c r="Z15" s="192"/>
      <c r="AA15" s="97"/>
      <c r="AB15" s="193"/>
      <c r="AC15" s="123"/>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row>
    <row r="16" spans="1:161">
      <c r="A16" s="116"/>
      <c r="B16" s="116" t="s">
        <v>1071</v>
      </c>
      <c r="C16" s="116">
        <v>1</v>
      </c>
      <c r="D16" s="3" t="s">
        <v>1076</v>
      </c>
      <c r="E16" s="184" t="s">
        <v>1002</v>
      </c>
      <c r="F16" s="184"/>
      <c r="G16" s="184"/>
      <c r="H16" s="184"/>
      <c r="I16" s="184"/>
      <c r="J16" s="184"/>
      <c r="K16" s="184"/>
      <c r="L16" s="184"/>
      <c r="M16" s="185">
        <v>43521</v>
      </c>
      <c r="N16" s="185">
        <v>43602</v>
      </c>
      <c r="O16" s="186"/>
      <c r="P16" s="187">
        <v>309</v>
      </c>
      <c r="Q16" s="187">
        <v>189</v>
      </c>
      <c r="R16" s="188">
        <v>80</v>
      </c>
      <c r="S16" s="188">
        <v>33</v>
      </c>
      <c r="T16" s="185"/>
      <c r="U16" s="185"/>
      <c r="V16" s="189">
        <v>0</v>
      </c>
      <c r="W16" s="190">
        <v>0</v>
      </c>
      <c r="X16" s="191"/>
      <c r="Y16" s="186"/>
      <c r="Z16" s="192"/>
      <c r="AA16" s="97">
        <v>0.61165048543689315</v>
      </c>
      <c r="AB16" s="193">
        <v>0.44919093851132691</v>
      </c>
      <c r="AC16" s="123"/>
      <c r="AD16" s="4"/>
      <c r="AE16" s="4"/>
      <c r="AF16" s="4"/>
      <c r="AG16" s="4"/>
      <c r="AH16" s="4"/>
      <c r="AI16" s="4" t="str">
        <f>"   " &amp; TEXT(AB16,"#0.00%") &amp; " "</f>
        <v xml:space="preserve">   44.92% </v>
      </c>
      <c r="AJ16" s="4"/>
      <c r="AK16" s="4"/>
      <c r="AL16" s="4"/>
      <c r="AM16" s="4"/>
      <c r="AN16" s="4"/>
      <c r="AO16" s="4" t="str">
        <f>"      " &amp; "시스템 개발" &amp; " " &amp; IF(M16="","",TEXT(M16,"M/D-")) &amp; IF(N16="","",TEXT(N16,"M/D")) &amp; " "</f>
        <v xml:space="preserve">      시스템 개발 2/25-5/17 </v>
      </c>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row>
    <row r="17" spans="1:161" outlineLevel="1">
      <c r="A17" s="116"/>
      <c r="B17" s="116" t="s">
        <v>1071</v>
      </c>
      <c r="C17" s="116">
        <v>2</v>
      </c>
      <c r="D17" s="3" t="s">
        <v>1077</v>
      </c>
      <c r="E17" s="184"/>
      <c r="F17" s="184" t="s">
        <v>1003</v>
      </c>
      <c r="G17" s="184"/>
      <c r="H17" s="184"/>
      <c r="I17" s="184"/>
      <c r="J17" s="184"/>
      <c r="K17" s="184"/>
      <c r="L17" s="184"/>
      <c r="M17" s="185">
        <v>43521</v>
      </c>
      <c r="N17" s="185">
        <v>43544</v>
      </c>
      <c r="O17" s="186"/>
      <c r="P17" s="187">
        <v>27</v>
      </c>
      <c r="Q17" s="187">
        <v>27</v>
      </c>
      <c r="R17" s="188">
        <v>23</v>
      </c>
      <c r="S17" s="188">
        <v>23</v>
      </c>
      <c r="T17" s="185"/>
      <c r="U17" s="185"/>
      <c r="V17" s="189">
        <v>0</v>
      </c>
      <c r="W17" s="190">
        <v>0</v>
      </c>
      <c r="X17" s="191"/>
      <c r="Y17" s="186"/>
      <c r="Z17" s="192"/>
      <c r="AA17" s="97">
        <v>1</v>
      </c>
      <c r="AB17" s="193">
        <v>1</v>
      </c>
      <c r="AC17" s="123"/>
      <c r="AD17" s="4"/>
      <c r="AE17" s="4"/>
      <c r="AF17" s="4"/>
      <c r="AG17" s="4" t="str">
        <f>"    " &amp; TEXT(AB17,"#0.00%") &amp; " " &amp; "분석" &amp; " " &amp; IF(M17="","",TEXT(M17,"M/D-")) &amp; IF(N17="","",TEXT(N17,"M/D")) &amp; " "</f>
        <v xml:space="preserve">    100.00% 분석 2/25-3/20 </v>
      </c>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row>
    <row r="18" spans="1:161" outlineLevel="2">
      <c r="A18" s="116"/>
      <c r="B18" s="116"/>
      <c r="C18" s="116">
        <v>3</v>
      </c>
      <c r="D18" s="3" t="s">
        <v>995</v>
      </c>
      <c r="E18" s="184"/>
      <c r="F18" s="184"/>
      <c r="G18" s="217" t="s">
        <v>1126</v>
      </c>
      <c r="H18" s="184"/>
      <c r="I18" s="184"/>
      <c r="J18" s="184"/>
      <c r="K18" s="184"/>
      <c r="L18" s="184"/>
      <c r="M18" s="185">
        <v>43521</v>
      </c>
      <c r="N18" s="185">
        <v>43523</v>
      </c>
      <c r="O18" s="186"/>
      <c r="P18" s="187">
        <v>3</v>
      </c>
      <c r="Q18" s="187">
        <v>3</v>
      </c>
      <c r="R18" s="188">
        <v>3</v>
      </c>
      <c r="S18" s="188">
        <v>3</v>
      </c>
      <c r="T18" s="185"/>
      <c r="U18" s="185"/>
      <c r="V18" s="189"/>
      <c r="W18" s="190">
        <v>0</v>
      </c>
      <c r="X18" s="191">
        <v>1</v>
      </c>
      <c r="Y18" s="216" t="s">
        <v>1123</v>
      </c>
      <c r="Z18" s="192" t="s">
        <v>1137</v>
      </c>
      <c r="AA18" s="97">
        <v>1</v>
      </c>
      <c r="AB18" s="193">
        <v>1</v>
      </c>
      <c r="AC18" s="123"/>
      <c r="AD18" s="4" t="str">
        <f>"    " &amp; TEXT(AB18,"#0.00%") &amp; " " &amp; "시장조사 및 벤치마킹" &amp; "(김도형)" &amp; " " &amp; IF(M18="","",TEXT(M18,"M/D-")) &amp; IF(N18="","",TEXT(N18,"M/D")) &amp; " "</f>
        <v xml:space="preserve">    100.00% 시장조사 및 벤치마킹(김도형) 2/25-2/27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row>
    <row r="19" spans="1:161" outlineLevel="2">
      <c r="A19" s="116"/>
      <c r="B19" s="116"/>
      <c r="C19" s="116">
        <v>3</v>
      </c>
      <c r="D19" s="3" t="s">
        <v>1078</v>
      </c>
      <c r="E19" s="184"/>
      <c r="F19" s="184"/>
      <c r="G19" s="217" t="s">
        <v>1127</v>
      </c>
      <c r="H19" s="184"/>
      <c r="I19" s="184"/>
      <c r="J19" s="184"/>
      <c r="K19" s="184"/>
      <c r="L19" s="184"/>
      <c r="M19" s="185">
        <v>43521</v>
      </c>
      <c r="N19" s="185">
        <v>43539</v>
      </c>
      <c r="O19" s="186"/>
      <c r="P19" s="187">
        <v>18</v>
      </c>
      <c r="Q19" s="187">
        <v>18</v>
      </c>
      <c r="R19" s="188">
        <v>18</v>
      </c>
      <c r="S19" s="188">
        <v>18</v>
      </c>
      <c r="T19" s="185"/>
      <c r="U19" s="185"/>
      <c r="V19" s="189"/>
      <c r="W19" s="190">
        <v>0</v>
      </c>
      <c r="X19" s="191">
        <v>1</v>
      </c>
      <c r="Y19" s="186" t="s">
        <v>1138</v>
      </c>
      <c r="Z19" s="192" t="s">
        <v>1139</v>
      </c>
      <c r="AA19" s="97">
        <v>1</v>
      </c>
      <c r="AB19" s="193">
        <v>1</v>
      </c>
      <c r="AC19" s="123"/>
      <c r="AD19" s="4"/>
      <c r="AE19" s="4"/>
      <c r="AF19" s="4" t="str">
        <f>"      " &amp; TEXT(AB19,"#0.00%") &amp; " " &amp; "컨텐츠 기획" &amp; "(김가연, 김보령)" &amp; " " &amp; IF(M19="","",TEXT(M19,"M/D-")) &amp; IF(N19="","",TEXT(N19,"M/D")) &amp; " "</f>
        <v xml:space="preserve">      100.00% 컨텐츠 기획(김가연, 김보령) 2/25-3/15 </v>
      </c>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row>
    <row r="20" spans="1:161" outlineLevel="2">
      <c r="A20" s="116"/>
      <c r="B20" s="116" t="s">
        <v>1071</v>
      </c>
      <c r="C20" s="116">
        <v>3</v>
      </c>
      <c r="D20" s="3" t="s">
        <v>1149</v>
      </c>
      <c r="E20" s="184"/>
      <c r="F20" s="184"/>
      <c r="G20" s="184" t="s">
        <v>1004</v>
      </c>
      <c r="H20" s="184"/>
      <c r="I20" s="184"/>
      <c r="J20" s="184"/>
      <c r="K20" s="184"/>
      <c r="L20" s="184"/>
      <c r="M20" s="185">
        <v>43542</v>
      </c>
      <c r="N20" s="185">
        <v>43544</v>
      </c>
      <c r="O20" s="186"/>
      <c r="P20" s="187">
        <v>6</v>
      </c>
      <c r="Q20" s="187">
        <v>6</v>
      </c>
      <c r="R20" s="188">
        <v>3</v>
      </c>
      <c r="S20" s="188">
        <v>3</v>
      </c>
      <c r="T20" s="185"/>
      <c r="U20" s="185"/>
      <c r="V20" s="189">
        <v>0</v>
      </c>
      <c r="W20" s="190">
        <v>0</v>
      </c>
      <c r="X20" s="191"/>
      <c r="Y20" s="186"/>
      <c r="Z20" s="192"/>
      <c r="AA20" s="97">
        <v>1</v>
      </c>
      <c r="AB20" s="193">
        <v>1</v>
      </c>
      <c r="AC20" s="123"/>
      <c r="AD20" s="4"/>
      <c r="AE20" s="4"/>
      <c r="AF20" s="4"/>
      <c r="AG20" s="4" t="str">
        <f>"    " &amp; TEXT(AB20,"#0.00%") &amp; " " &amp; "논리모델구축" &amp; " " &amp; IF(M20="","",TEXT(M20,"M/D-")) &amp; IF(N20="","",TEXT(N20,"M/D")) &amp; " "</f>
        <v xml:space="preserve">    100.00% 논리모델구축 3/18-3/20 </v>
      </c>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row>
    <row r="21" spans="1:161" outlineLevel="3">
      <c r="A21" s="116"/>
      <c r="B21" s="116"/>
      <c r="C21" s="116">
        <v>4</v>
      </c>
      <c r="D21" s="3" t="s">
        <v>1150</v>
      </c>
      <c r="E21" s="184"/>
      <c r="F21" s="184"/>
      <c r="G21" s="184"/>
      <c r="H21" s="184" t="s">
        <v>447</v>
      </c>
      <c r="I21" s="184"/>
      <c r="J21" s="184"/>
      <c r="K21" s="184"/>
      <c r="L21" s="184"/>
      <c r="M21" s="185">
        <v>43542</v>
      </c>
      <c r="N21" s="185">
        <v>43544</v>
      </c>
      <c r="O21" s="186"/>
      <c r="P21" s="187">
        <v>3</v>
      </c>
      <c r="Q21" s="187">
        <v>3</v>
      </c>
      <c r="R21" s="188">
        <v>3</v>
      </c>
      <c r="S21" s="188">
        <v>3</v>
      </c>
      <c r="T21" s="185">
        <v>43315</v>
      </c>
      <c r="U21" s="185">
        <v>43326</v>
      </c>
      <c r="V21" s="189">
        <v>12</v>
      </c>
      <c r="W21" s="190">
        <v>12</v>
      </c>
      <c r="X21" s="191">
        <v>1</v>
      </c>
      <c r="Y21" s="216" t="s">
        <v>1123</v>
      </c>
      <c r="Z21" s="192"/>
      <c r="AA21" s="97">
        <v>1</v>
      </c>
      <c r="AB21" s="193">
        <v>1</v>
      </c>
      <c r="AC21" s="123"/>
      <c r="AD21" s="4"/>
      <c r="AE21" s="4"/>
      <c r="AF21" s="4"/>
      <c r="AG21" s="4" t="str">
        <f>"    " &amp; TEXT(AB21,"#0.00%") &amp; " " &amp; "프로세스모델링" &amp; "(김도형)" &amp; " " &amp; IF(M21="","",TEXT(M21,"M/D-")) &amp; IF(N21="","",TEXT(N21,"M/D")) &amp; " "</f>
        <v xml:space="preserve">    100.00% 프로세스모델링(김도형) 3/18-3/20 </v>
      </c>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row>
    <row r="22" spans="1:161" outlineLevel="3">
      <c r="A22" s="116"/>
      <c r="B22" s="116"/>
      <c r="C22" s="116">
        <v>4</v>
      </c>
      <c r="D22" s="3" t="s">
        <v>1151</v>
      </c>
      <c r="E22" s="184"/>
      <c r="F22" s="184"/>
      <c r="G22" s="184"/>
      <c r="H22" s="184" t="s">
        <v>448</v>
      </c>
      <c r="I22" s="184"/>
      <c r="J22" s="184"/>
      <c r="K22" s="184"/>
      <c r="L22" s="184"/>
      <c r="M22" s="185">
        <v>43542</v>
      </c>
      <c r="N22" s="185">
        <v>43544</v>
      </c>
      <c r="O22" s="186"/>
      <c r="P22" s="187">
        <v>3</v>
      </c>
      <c r="Q22" s="187">
        <v>3</v>
      </c>
      <c r="R22" s="188">
        <v>3</v>
      </c>
      <c r="S22" s="188">
        <v>3</v>
      </c>
      <c r="T22" s="185">
        <v>43315</v>
      </c>
      <c r="U22" s="185">
        <v>43326</v>
      </c>
      <c r="V22" s="189">
        <v>12</v>
      </c>
      <c r="W22" s="190">
        <v>12</v>
      </c>
      <c r="X22" s="191">
        <v>1</v>
      </c>
      <c r="Y22" s="216" t="s">
        <v>1125</v>
      </c>
      <c r="Z22" s="192"/>
      <c r="AA22" s="97">
        <v>1</v>
      </c>
      <c r="AB22" s="193">
        <v>1</v>
      </c>
      <c r="AC22" s="123"/>
      <c r="AD22" s="4"/>
      <c r="AE22" s="4"/>
      <c r="AF22" s="4"/>
      <c r="AG22" s="4" t="str">
        <f>"    " &amp; TEXT(AB22,"#0.00%") &amp; " " &amp; "데이터모델링" &amp; "(류경호)" &amp; " " &amp; IF(M22="","",TEXT(M22,"M/D-")) &amp; IF(N22="","",TEXT(N22,"M/D")) &amp; " "</f>
        <v xml:space="preserve">    100.00% 데이터모델링(류경호) 3/18-3/20 </v>
      </c>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row>
    <row r="23" spans="1:161" outlineLevel="1">
      <c r="A23" s="116"/>
      <c r="B23" s="116" t="s">
        <v>1071</v>
      </c>
      <c r="C23" s="116">
        <v>2</v>
      </c>
      <c r="D23" s="3" t="s">
        <v>1079</v>
      </c>
      <c r="E23" s="184"/>
      <c r="F23" s="184" t="s">
        <v>1005</v>
      </c>
      <c r="G23" s="184"/>
      <c r="H23" s="184"/>
      <c r="I23" s="184"/>
      <c r="J23" s="184"/>
      <c r="K23" s="184"/>
      <c r="L23" s="184"/>
      <c r="M23" s="185">
        <v>43528</v>
      </c>
      <c r="N23" s="185">
        <v>43539</v>
      </c>
      <c r="O23" s="186"/>
      <c r="P23" s="187">
        <v>52</v>
      </c>
      <c r="Q23" s="187">
        <v>52</v>
      </c>
      <c r="R23" s="188">
        <v>12</v>
      </c>
      <c r="S23" s="188">
        <v>12</v>
      </c>
      <c r="T23" s="185"/>
      <c r="U23" s="185"/>
      <c r="V23" s="189">
        <v>0</v>
      </c>
      <c r="W23" s="190">
        <v>0</v>
      </c>
      <c r="X23" s="191"/>
      <c r="Y23" s="186"/>
      <c r="Z23" s="192"/>
      <c r="AA23" s="97">
        <v>1</v>
      </c>
      <c r="AB23" s="193">
        <v>1</v>
      </c>
      <c r="AC23" s="123"/>
      <c r="AD23" s="4"/>
      <c r="AE23" s="4"/>
      <c r="AF23" s="4" t="str">
        <f>"      " &amp; TEXT(AB23,"#0.00%") &amp; " " &amp; "설계" &amp; " " &amp; IF(M23="","",TEXT(M23,"M/D-")) &amp; IF(N23="","",TEXT(N23,"M/D")) &amp; " "</f>
        <v xml:space="preserve">      100.00% 설계 3/4-3/15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row>
    <row r="24" spans="1:161" outlineLevel="2">
      <c r="A24" s="116"/>
      <c r="B24" s="116"/>
      <c r="C24" s="116">
        <v>3</v>
      </c>
      <c r="D24" s="3" t="s">
        <v>998</v>
      </c>
      <c r="E24" s="184"/>
      <c r="F24" s="184"/>
      <c r="G24" s="184" t="s">
        <v>1140</v>
      </c>
      <c r="H24" s="184"/>
      <c r="I24" s="184"/>
      <c r="J24" s="184"/>
      <c r="K24" s="184"/>
      <c r="L24" s="184"/>
      <c r="M24" s="185">
        <v>43528</v>
      </c>
      <c r="N24" s="185">
        <v>43539</v>
      </c>
      <c r="O24" s="186"/>
      <c r="P24" s="187">
        <v>12</v>
      </c>
      <c r="Q24" s="187">
        <v>12</v>
      </c>
      <c r="R24" s="188">
        <v>12</v>
      </c>
      <c r="S24" s="188">
        <v>12</v>
      </c>
      <c r="T24" s="185"/>
      <c r="U24" s="185"/>
      <c r="V24" s="189"/>
      <c r="W24" s="190">
        <v>0</v>
      </c>
      <c r="X24" s="191">
        <v>1</v>
      </c>
      <c r="Y24" s="216" t="s">
        <v>1170</v>
      </c>
      <c r="Z24" s="192"/>
      <c r="AA24" s="97">
        <v>1</v>
      </c>
      <c r="AB24" s="193">
        <v>1</v>
      </c>
      <c r="AC24" s="123"/>
      <c r="AD24" s="4"/>
      <c r="AE24" s="4"/>
      <c r="AF24" s="4" t="str">
        <f>"      " &amp; TEXT(AB24,"#0.00%") &amp; " " &amp; "게임 화면 정의" &amp; "(김가연, 김도형)" &amp; " " &amp; IF(M24="","",TEXT(M24,"M/D-")) &amp; IF(N24="","",TEXT(N24,"M/D")) &amp; " "</f>
        <v xml:space="preserve">      100.00% 게임 화면 정의(김가연, 김도형) 3/4-3/15 </v>
      </c>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row>
    <row r="25" spans="1:161" outlineLevel="2">
      <c r="A25" s="116"/>
      <c r="B25" s="116"/>
      <c r="C25" s="116">
        <v>3</v>
      </c>
      <c r="D25" s="3" t="s">
        <v>1080</v>
      </c>
      <c r="E25" s="184"/>
      <c r="F25" s="184"/>
      <c r="G25" s="184" t="s">
        <v>1141</v>
      </c>
      <c r="H25" s="184"/>
      <c r="I25" s="184"/>
      <c r="J25" s="184"/>
      <c r="K25" s="184"/>
      <c r="L25" s="184"/>
      <c r="M25" s="185">
        <v>43528</v>
      </c>
      <c r="N25" s="185">
        <v>43538</v>
      </c>
      <c r="O25" s="186"/>
      <c r="P25" s="187">
        <v>11</v>
      </c>
      <c r="Q25" s="187">
        <v>11</v>
      </c>
      <c r="R25" s="188">
        <v>11</v>
      </c>
      <c r="S25" s="188">
        <v>11</v>
      </c>
      <c r="T25" s="185">
        <v>43329</v>
      </c>
      <c r="U25" s="185"/>
      <c r="V25" s="189">
        <v>-43328</v>
      </c>
      <c r="W25" s="190">
        <v>0</v>
      </c>
      <c r="X25" s="191">
        <v>1</v>
      </c>
      <c r="Y25" s="216" t="s">
        <v>1128</v>
      </c>
      <c r="Z25" s="192" t="s">
        <v>1142</v>
      </c>
      <c r="AA25" s="97">
        <v>1</v>
      </c>
      <c r="AB25" s="193">
        <v>1</v>
      </c>
      <c r="AC25" s="123"/>
      <c r="AD25" s="4"/>
      <c r="AE25" s="4"/>
      <c r="AF25" s="4" t="str">
        <f>"     " &amp; TEXT(AB25,"#0.00%") &amp; " " &amp; "웹 화면 정의" &amp; "(김보령)" &amp; " " &amp; IF(M25="","",TEXT(M25,"M/D-")) &amp; IF(N25="","",TEXT(N25,"M/D")) &amp; " "</f>
        <v xml:space="preserve">     100.00% 웹 화면 정의(김보령) 3/4-3/14 </v>
      </c>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row>
    <row r="26" spans="1:161" outlineLevel="2">
      <c r="A26" s="116"/>
      <c r="B26" s="116"/>
      <c r="C26" s="116">
        <v>3</v>
      </c>
      <c r="D26" s="3" t="s">
        <v>999</v>
      </c>
      <c r="E26" s="184"/>
      <c r="F26" s="184"/>
      <c r="G26" s="184" t="s">
        <v>1143</v>
      </c>
      <c r="H26" s="184"/>
      <c r="I26" s="184"/>
      <c r="J26" s="184"/>
      <c r="K26" s="184"/>
      <c r="L26" s="184"/>
      <c r="M26" s="185">
        <v>43530</v>
      </c>
      <c r="N26" s="185">
        <v>43538</v>
      </c>
      <c r="O26" s="186"/>
      <c r="P26" s="187">
        <v>9</v>
      </c>
      <c r="Q26" s="187">
        <v>9</v>
      </c>
      <c r="R26" s="188">
        <v>9</v>
      </c>
      <c r="S26" s="188">
        <v>9</v>
      </c>
      <c r="T26" s="185"/>
      <c r="U26" s="185"/>
      <c r="V26" s="189"/>
      <c r="W26" s="190">
        <v>0</v>
      </c>
      <c r="X26" s="191">
        <v>1</v>
      </c>
      <c r="Y26" s="216" t="s">
        <v>1123</v>
      </c>
      <c r="Z26" s="192" t="s">
        <v>1144</v>
      </c>
      <c r="AA26" s="97">
        <v>1</v>
      </c>
      <c r="AB26" s="193">
        <v>1</v>
      </c>
      <c r="AC26" s="123"/>
      <c r="AD26" s="4"/>
      <c r="AE26" s="4"/>
      <c r="AF26" s="4" t="str">
        <f>"     " &amp; TEXT(AB26,"#0.00%") &amp; " " &amp; "개발 단계 및 일정 설계" &amp; "(김도형)" &amp; " " &amp; IF(M26="","",TEXT(M26,"M/D-")) &amp; IF(N26="","",TEXT(N26,"M/D")) &amp; " "</f>
        <v xml:space="preserve">     100.00% 개발 단계 및 일정 설계(김도형) 3/6-3/14 </v>
      </c>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row>
    <row r="27" spans="1:161" outlineLevel="2">
      <c r="A27" s="116"/>
      <c r="B27" s="116" t="s">
        <v>1071</v>
      </c>
      <c r="C27" s="116">
        <v>3</v>
      </c>
      <c r="D27" s="3" t="s">
        <v>1152</v>
      </c>
      <c r="E27" s="184"/>
      <c r="F27" s="184"/>
      <c r="G27" s="184" t="s">
        <v>1007</v>
      </c>
      <c r="H27" s="184"/>
      <c r="I27" s="184"/>
      <c r="J27" s="184"/>
      <c r="K27" s="184"/>
      <c r="L27" s="184"/>
      <c r="M27" s="185">
        <v>43528</v>
      </c>
      <c r="N27" s="185">
        <v>43539</v>
      </c>
      <c r="O27" s="186"/>
      <c r="P27" s="187">
        <v>20</v>
      </c>
      <c r="Q27" s="187">
        <v>20</v>
      </c>
      <c r="R27" s="188">
        <v>12</v>
      </c>
      <c r="S27" s="188">
        <v>12</v>
      </c>
      <c r="T27" s="185"/>
      <c r="U27" s="185"/>
      <c r="V27" s="189">
        <v>0</v>
      </c>
      <c r="W27" s="190">
        <v>0</v>
      </c>
      <c r="X27" s="191"/>
      <c r="Y27" s="186"/>
      <c r="Z27" s="192"/>
      <c r="AA27" s="97">
        <v>1</v>
      </c>
      <c r="AB27" s="193">
        <v>1</v>
      </c>
      <c r="AC27" s="123"/>
      <c r="AD27" s="4"/>
      <c r="AE27" s="4"/>
      <c r="AF27" s="4" t="str">
        <f>"      " &amp; TEXT(AB27,"#0.00%") &amp; " " &amp; "시스템 설계" &amp; " " &amp; IF(M27="","",TEXT(M27,"M/D-")) &amp; IF(N27="","",TEXT(N27,"M/D")) &amp; " "</f>
        <v xml:space="preserve">      100.00% 시스템 설계 3/4-3/15 </v>
      </c>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row>
    <row r="28" spans="1:161" outlineLevel="3">
      <c r="A28" s="116"/>
      <c r="B28" s="116"/>
      <c r="C28" s="116">
        <v>4</v>
      </c>
      <c r="D28" s="3" t="s">
        <v>1153</v>
      </c>
      <c r="E28" s="184"/>
      <c r="F28" s="184"/>
      <c r="G28" s="184"/>
      <c r="H28" s="184" t="s">
        <v>1145</v>
      </c>
      <c r="I28" s="184"/>
      <c r="J28" s="184"/>
      <c r="K28" s="184"/>
      <c r="L28" s="184"/>
      <c r="M28" s="185">
        <v>43528</v>
      </c>
      <c r="N28" s="185">
        <v>43535</v>
      </c>
      <c r="O28" s="186"/>
      <c r="P28" s="187">
        <v>8</v>
      </c>
      <c r="Q28" s="187">
        <v>8</v>
      </c>
      <c r="R28" s="188">
        <v>8</v>
      </c>
      <c r="S28" s="188">
        <v>8</v>
      </c>
      <c r="T28" s="185"/>
      <c r="U28" s="185"/>
      <c r="V28" s="189"/>
      <c r="W28" s="190">
        <v>0</v>
      </c>
      <c r="X28" s="191">
        <v>1</v>
      </c>
      <c r="Y28" s="216" t="s">
        <v>1125</v>
      </c>
      <c r="Z28" s="192" t="s">
        <v>1146</v>
      </c>
      <c r="AA28" s="97">
        <v>1</v>
      </c>
      <c r="AB28" s="193">
        <v>1</v>
      </c>
      <c r="AC28" s="123"/>
      <c r="AD28" s="4"/>
      <c r="AE28" s="4"/>
      <c r="AF28" s="4" t="str">
        <f>"  " &amp; TEXT(AB28,"#0.00%") &amp; " " &amp; "DB설계" &amp; "(류경호)" &amp; " " &amp; IF(M28="","",TEXT(M28,"M/D-")) &amp; IF(N28="","",TEXT(N28,"M/D")) &amp; " "</f>
        <v xml:space="preserve">  100.00% DB설계(류경호) 3/4-3/11 </v>
      </c>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row>
    <row r="29" spans="1:161" outlineLevel="3">
      <c r="A29" s="116"/>
      <c r="B29" s="116"/>
      <c r="C29" s="116">
        <v>4</v>
      </c>
      <c r="D29" s="3" t="s">
        <v>1154</v>
      </c>
      <c r="E29" s="184"/>
      <c r="F29" s="184"/>
      <c r="G29" s="184"/>
      <c r="H29" s="184" t="s">
        <v>1013</v>
      </c>
      <c r="I29" s="184"/>
      <c r="J29" s="184"/>
      <c r="K29" s="184"/>
      <c r="L29" s="184"/>
      <c r="M29" s="185">
        <v>43528</v>
      </c>
      <c r="N29" s="185">
        <v>43539</v>
      </c>
      <c r="O29" s="186"/>
      <c r="P29" s="187">
        <v>12</v>
      </c>
      <c r="Q29" s="187">
        <v>12</v>
      </c>
      <c r="R29" s="188">
        <v>12</v>
      </c>
      <c r="S29" s="188">
        <v>12</v>
      </c>
      <c r="T29" s="185"/>
      <c r="U29" s="185"/>
      <c r="V29" s="189"/>
      <c r="W29" s="190">
        <v>0</v>
      </c>
      <c r="X29" s="191">
        <v>1</v>
      </c>
      <c r="Y29" s="216" t="s">
        <v>1130</v>
      </c>
      <c r="Z29" s="192" t="s">
        <v>1147</v>
      </c>
      <c r="AA29" s="97">
        <v>1</v>
      </c>
      <c r="AB29" s="193">
        <v>1</v>
      </c>
      <c r="AC29" s="123"/>
      <c r="AD29" s="4"/>
      <c r="AE29" s="4"/>
      <c r="AF29" s="4" t="str">
        <f>"      " &amp; TEXT(AB29,"#0.00%") &amp; " " &amp; "프로그램설계" &amp; "(김도형, 김가연, 김보령)" &amp; " " &amp; IF(M29="","",TEXT(M29,"M/D-")) &amp; IF(N29="","",TEXT(N29,"M/D")) &amp; " "</f>
        <v xml:space="preserve">      100.00% 프로그램설계(김도형, 김가연, 김보령) 3/4-3/15 </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row>
    <row r="30" spans="1:161" outlineLevel="3">
      <c r="A30" s="116"/>
      <c r="B30" s="116"/>
      <c r="C30" s="116">
        <v>0</v>
      </c>
      <c r="D30" s="3"/>
      <c r="E30" s="184"/>
      <c r="F30" s="184"/>
      <c r="G30" s="184"/>
      <c r="H30" s="184"/>
      <c r="I30" s="184"/>
      <c r="J30" s="184"/>
      <c r="K30" s="184"/>
      <c r="L30" s="184"/>
      <c r="M30" s="185"/>
      <c r="N30" s="185"/>
      <c r="O30" s="186"/>
      <c r="P30" s="187"/>
      <c r="Q30" s="187"/>
      <c r="R30" s="188">
        <v>0</v>
      </c>
      <c r="S30" s="188">
        <v>0</v>
      </c>
      <c r="T30" s="185"/>
      <c r="U30" s="185"/>
      <c r="V30" s="189"/>
      <c r="W30" s="190">
        <v>0</v>
      </c>
      <c r="X30" s="191"/>
      <c r="Y30" s="216"/>
      <c r="Z30" s="192"/>
      <c r="AA30" s="97"/>
      <c r="AB30" s="193"/>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row>
    <row r="31" spans="1:161" outlineLevel="1">
      <c r="A31" s="116"/>
      <c r="B31" s="116" t="s">
        <v>1071</v>
      </c>
      <c r="C31" s="116">
        <v>2</v>
      </c>
      <c r="D31" s="3" t="s">
        <v>1081</v>
      </c>
      <c r="E31" s="184"/>
      <c r="F31" s="217" t="s">
        <v>1033</v>
      </c>
      <c r="G31" s="184"/>
      <c r="H31" s="184"/>
      <c r="I31" s="184"/>
      <c r="J31" s="184"/>
      <c r="K31" s="184"/>
      <c r="L31" s="184"/>
      <c r="M31" s="185">
        <v>43535</v>
      </c>
      <c r="N31" s="185">
        <v>43602</v>
      </c>
      <c r="O31" s="186"/>
      <c r="P31" s="187">
        <v>230</v>
      </c>
      <c r="Q31" s="187">
        <v>110</v>
      </c>
      <c r="R31" s="188">
        <v>67</v>
      </c>
      <c r="S31" s="188">
        <v>20</v>
      </c>
      <c r="T31" s="185"/>
      <c r="U31" s="185"/>
      <c r="V31" s="189">
        <v>0</v>
      </c>
      <c r="W31" s="190">
        <v>0</v>
      </c>
      <c r="X31" s="191"/>
      <c r="Y31" s="186"/>
      <c r="Z31" s="192"/>
      <c r="AA31" s="97">
        <v>0.47826086956521741</v>
      </c>
      <c r="AB31" s="193">
        <v>0.26</v>
      </c>
      <c r="AC31" s="123"/>
      <c r="AD31" s="4"/>
      <c r="AE31" s="4"/>
      <c r="AF31" s="4"/>
      <c r="AG31" s="4"/>
      <c r="AH31" s="4" t="str">
        <f>"     " &amp; TEXT(AB31,"#0.00%") &amp; " "</f>
        <v xml:space="preserve">     26.00% </v>
      </c>
      <c r="AI31" s="4"/>
      <c r="AJ31" s="4"/>
      <c r="AK31" s="4"/>
      <c r="AL31" s="4"/>
      <c r="AM31" s="4"/>
      <c r="AN31" s="4"/>
      <c r="AO31" s="4" t="str">
        <f>"      " &amp; "구현" &amp; " " &amp; IF(M31="","",TEXT(M31,"M/D-")) &amp; IF(N31="","",TEXT(N31,"M/D")) &amp; " "</f>
        <v xml:space="preserve">      구현 3/11-5/17 </v>
      </c>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row>
    <row r="32" spans="1:161" outlineLevel="2">
      <c r="A32" s="116"/>
      <c r="B32" s="116" t="s">
        <v>1071</v>
      </c>
      <c r="C32" s="116">
        <v>3</v>
      </c>
      <c r="D32" s="3" t="s">
        <v>1082</v>
      </c>
      <c r="E32" s="184"/>
      <c r="F32" s="184"/>
      <c r="G32" s="184" t="s">
        <v>1148</v>
      </c>
      <c r="H32" s="184"/>
      <c r="I32" s="184"/>
      <c r="J32" s="184"/>
      <c r="K32" s="184"/>
      <c r="L32" s="184"/>
      <c r="M32" s="185">
        <v>43535</v>
      </c>
      <c r="N32" s="185">
        <v>43602</v>
      </c>
      <c r="O32" s="186"/>
      <c r="P32" s="187">
        <v>230</v>
      </c>
      <c r="Q32" s="187">
        <v>110</v>
      </c>
      <c r="R32" s="188">
        <v>67</v>
      </c>
      <c r="S32" s="188">
        <v>20</v>
      </c>
      <c r="T32" s="185"/>
      <c r="U32" s="185"/>
      <c r="V32" s="189">
        <v>0</v>
      </c>
      <c r="W32" s="190">
        <v>0</v>
      </c>
      <c r="X32" s="191"/>
      <c r="Y32" s="186"/>
      <c r="Z32" s="218" t="s">
        <v>1131</v>
      </c>
      <c r="AA32" s="97">
        <v>0.47826086956521741</v>
      </c>
      <c r="AB32" s="193">
        <v>0.26</v>
      </c>
      <c r="AC32" s="123"/>
      <c r="AD32" s="4"/>
      <c r="AE32" s="4"/>
      <c r="AF32" s="4"/>
      <c r="AG32" s="4"/>
      <c r="AH32" s="4" t="str">
        <f>"     " &amp; TEXT(AB32,"#0.00%") &amp; " "</f>
        <v xml:space="preserve">     26.00% </v>
      </c>
      <c r="AI32" s="4"/>
      <c r="AJ32" s="4"/>
      <c r="AK32" s="4"/>
      <c r="AL32" s="4"/>
      <c r="AM32" s="4"/>
      <c r="AN32" s="4"/>
      <c r="AO32" s="4" t="str">
        <f>"      " &amp; "프로토타입 개발" &amp; " " &amp; IF(M32="","",TEXT(M32,"M/D-")) &amp; IF(N32="","",TEXT(N32,"M/D")) &amp; " "</f>
        <v xml:space="preserve">      프로토타입 개발 3/11-5/17 </v>
      </c>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row>
    <row r="33" spans="1:161" outlineLevel="3">
      <c r="A33" s="116"/>
      <c r="B33" s="116" t="s">
        <v>1071</v>
      </c>
      <c r="C33" s="116">
        <v>4</v>
      </c>
      <c r="D33" s="219" t="s">
        <v>1015</v>
      </c>
      <c r="E33" s="220"/>
      <c r="F33" s="220"/>
      <c r="G33" s="220"/>
      <c r="H33" s="221" t="s">
        <v>1157</v>
      </c>
      <c r="I33" s="221"/>
      <c r="J33" s="220"/>
      <c r="K33" s="220"/>
      <c r="L33" s="220"/>
      <c r="M33" s="222">
        <v>43535</v>
      </c>
      <c r="N33" s="222">
        <v>43581</v>
      </c>
      <c r="O33" s="223"/>
      <c r="P33" s="224">
        <v>14</v>
      </c>
      <c r="Q33" s="224">
        <v>9</v>
      </c>
      <c r="R33" s="225">
        <v>47</v>
      </c>
      <c r="S33" s="225">
        <v>20</v>
      </c>
      <c r="T33" s="222"/>
      <c r="U33" s="222"/>
      <c r="V33" s="226">
        <v>0</v>
      </c>
      <c r="W33" s="227">
        <v>0</v>
      </c>
      <c r="X33" s="228"/>
      <c r="Y33" s="223"/>
      <c r="Z33" s="229"/>
      <c r="AA33" s="230">
        <v>0.6428571428571429</v>
      </c>
      <c r="AB33" s="231">
        <v>0.6428571428571429</v>
      </c>
      <c r="AC33" s="123"/>
      <c r="AD33" s="4"/>
      <c r="AE33" s="4"/>
      <c r="AF33" s="4"/>
      <c r="AG33" s="4"/>
      <c r="AH33" s="4"/>
      <c r="AI33" s="4"/>
      <c r="AJ33" s="4" t="str">
        <f>"   " &amp; TEXT(AB33,"#0.00%") &amp; " " &amp; "아두이노" &amp; " " &amp; IF(M33="","",TEXT(M33,"M/D-")) &amp; IF(N33="","",TEXT(N33,"M/D")) &amp; " "</f>
        <v xml:space="preserve">   64.29% 아두이노 3/11-4/26 </v>
      </c>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row>
    <row r="34" spans="1:161" outlineLevel="4">
      <c r="A34" s="116"/>
      <c r="B34" s="116"/>
      <c r="C34" s="116">
        <v>5</v>
      </c>
      <c r="D34" s="3" t="s">
        <v>1159</v>
      </c>
      <c r="E34" s="184"/>
      <c r="F34" s="184"/>
      <c r="G34" s="184"/>
      <c r="H34" s="184"/>
      <c r="I34" s="184" t="s">
        <v>1133</v>
      </c>
      <c r="J34" s="184"/>
      <c r="K34" s="184"/>
      <c r="L34" s="184"/>
      <c r="M34" s="185">
        <v>43535</v>
      </c>
      <c r="N34" s="185">
        <v>43535</v>
      </c>
      <c r="O34" s="186"/>
      <c r="P34" s="187">
        <v>1</v>
      </c>
      <c r="Q34" s="187">
        <v>1</v>
      </c>
      <c r="R34" s="188">
        <v>1</v>
      </c>
      <c r="S34" s="188">
        <v>1</v>
      </c>
      <c r="T34" s="185"/>
      <c r="U34" s="185"/>
      <c r="V34" s="189"/>
      <c r="W34" s="190">
        <v>0</v>
      </c>
      <c r="X34" s="191">
        <v>1</v>
      </c>
      <c r="Y34" s="216" t="s">
        <v>1132</v>
      </c>
      <c r="Z34" s="192"/>
      <c r="AA34" s="97">
        <v>1</v>
      </c>
      <c r="AB34" s="193">
        <v>1</v>
      </c>
      <c r="AC34" s="123"/>
      <c r="AD34" s="4"/>
      <c r="AE34" s="4"/>
      <c r="AF34" s="4" t="str">
        <f>"  " &amp; TEXT(AB34,"#0.00%") &amp; " " &amp; "아두이노 센서 값 컨트롤" &amp; "(송주헌)" &amp; " " &amp; IF(M34="","",TEXT(M34,"M/D-")) &amp; IF(N34="","",TEXT(N34,"M/D")) &amp; " "</f>
        <v xml:space="preserve">  100.00% 아두이노 센서 값 컨트롤(송주헌) 3/11-3/11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row>
    <row r="35" spans="1:161" outlineLevel="4">
      <c r="A35" s="116"/>
      <c r="B35" s="116"/>
      <c r="C35" s="116">
        <v>5</v>
      </c>
      <c r="D35" s="3" t="s">
        <v>1160</v>
      </c>
      <c r="E35" s="184"/>
      <c r="F35" s="184"/>
      <c r="G35" s="184"/>
      <c r="H35" s="184"/>
      <c r="I35" s="184" t="s">
        <v>1134</v>
      </c>
      <c r="J35" s="184"/>
      <c r="K35" s="184"/>
      <c r="L35" s="184"/>
      <c r="M35" s="185">
        <v>43536</v>
      </c>
      <c r="N35" s="185">
        <v>43537</v>
      </c>
      <c r="O35" s="186"/>
      <c r="P35" s="187">
        <v>2</v>
      </c>
      <c r="Q35" s="187">
        <v>2</v>
      </c>
      <c r="R35" s="188">
        <v>2</v>
      </c>
      <c r="S35" s="188">
        <v>2</v>
      </c>
      <c r="T35" s="185"/>
      <c r="U35" s="185"/>
      <c r="V35" s="189"/>
      <c r="W35" s="190">
        <v>0</v>
      </c>
      <c r="X35" s="191">
        <v>1</v>
      </c>
      <c r="Y35" s="216" t="s">
        <v>1132</v>
      </c>
      <c r="Z35" s="192"/>
      <c r="AA35" s="97">
        <v>1</v>
      </c>
      <c r="AB35" s="193">
        <v>1</v>
      </c>
      <c r="AC35" s="123"/>
      <c r="AD35" s="4"/>
      <c r="AE35" s="4"/>
      <c r="AF35" s="4" t="str">
        <f>"    " &amp; TEXT(AB35,"#0.00%") &amp; " " &amp; "아두이노 블루투스 통신 확인" &amp; "(송주헌)" &amp; " " &amp; IF(M35="","",TEXT(M35,"M/D-")) &amp; IF(N35="","",TEXT(N35,"M/D")) &amp; " "</f>
        <v xml:space="preserve">    100.00% 아두이노 블루투스 통신 확인(송주헌) 3/12-3/13 </v>
      </c>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row>
    <row r="36" spans="1:161" outlineLevel="4">
      <c r="A36" s="116"/>
      <c r="B36" s="116"/>
      <c r="C36" s="116">
        <v>5</v>
      </c>
      <c r="D36" s="3" t="s">
        <v>1161</v>
      </c>
      <c r="E36" s="184"/>
      <c r="F36" s="184"/>
      <c r="G36" s="184"/>
      <c r="H36" s="184"/>
      <c r="I36" s="184" t="s">
        <v>1135</v>
      </c>
      <c r="J36" s="184"/>
      <c r="K36" s="184"/>
      <c r="L36" s="184"/>
      <c r="M36" s="185">
        <v>43537</v>
      </c>
      <c r="N36" s="185">
        <v>43539</v>
      </c>
      <c r="O36" s="186"/>
      <c r="P36" s="187">
        <v>3</v>
      </c>
      <c r="Q36" s="187">
        <v>3</v>
      </c>
      <c r="R36" s="188">
        <v>3</v>
      </c>
      <c r="S36" s="188">
        <v>3</v>
      </c>
      <c r="T36" s="185"/>
      <c r="U36" s="185"/>
      <c r="V36" s="189"/>
      <c r="W36" s="190">
        <v>0</v>
      </c>
      <c r="X36" s="191">
        <v>1</v>
      </c>
      <c r="Y36" s="216" t="s">
        <v>1132</v>
      </c>
      <c r="Z36" s="192"/>
      <c r="AA36" s="97">
        <v>1</v>
      </c>
      <c r="AB36" s="193">
        <v>1</v>
      </c>
      <c r="AC36" s="123"/>
      <c r="AD36" s="4"/>
      <c r="AE36" s="4"/>
      <c r="AF36" s="4" t="str">
        <f>"      " &amp; TEXT(AB36,"#0.00%") &amp; " " &amp; "아두이노 센서 값 블루투스로 통신 및 레이턴시 확인" &amp; "(송주헌)" &amp; " " &amp; IF(M36="","",TEXT(M36,"M/D-")) &amp; IF(N36="","",TEXT(N36,"M/D")) &amp; " "</f>
        <v xml:space="preserve">      100.00% 아두이노 센서 값 블루투스로 통신 및 레이턴시 확인(송주헌) 3/13-3/15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row>
    <row r="37" spans="1:161" outlineLevel="4">
      <c r="A37" s="116"/>
      <c r="B37" s="116"/>
      <c r="C37" s="116">
        <v>5</v>
      </c>
      <c r="D37" s="3" t="s">
        <v>1162</v>
      </c>
      <c r="E37" s="184"/>
      <c r="F37" s="184"/>
      <c r="G37" s="184"/>
      <c r="H37" s="184"/>
      <c r="I37" s="184" t="s">
        <v>1171</v>
      </c>
      <c r="J37" s="184"/>
      <c r="K37" s="184"/>
      <c r="L37" s="184"/>
      <c r="M37" s="185">
        <v>43538</v>
      </c>
      <c r="N37" s="185">
        <v>43540</v>
      </c>
      <c r="O37" s="186"/>
      <c r="P37" s="187">
        <v>3</v>
      </c>
      <c r="Q37" s="187">
        <v>3</v>
      </c>
      <c r="R37" s="188">
        <v>3</v>
      </c>
      <c r="S37" s="188">
        <v>3</v>
      </c>
      <c r="T37" s="185"/>
      <c r="U37" s="185"/>
      <c r="V37" s="189"/>
      <c r="W37" s="190">
        <v>0</v>
      </c>
      <c r="X37" s="191">
        <v>1</v>
      </c>
      <c r="Y37" s="216" t="s">
        <v>1172</v>
      </c>
      <c r="Z37" s="192"/>
      <c r="AA37" s="97">
        <v>1</v>
      </c>
      <c r="AB37" s="193">
        <v>1</v>
      </c>
      <c r="AC37" s="123"/>
      <c r="AD37" s="4"/>
      <c r="AE37" s="4"/>
      <c r="AF37" s="4"/>
      <c r="AG37" s="4" t="str">
        <f>"" &amp; TEXT(AB37,"#0.00%") &amp; " " &amp; "아두이노 센서 값과 Unity 블루투스 시리얼 통신" &amp; "(김도형, 송주헌)" &amp; " " &amp; IF(M37="","",TEXT(M37,"M/D-")) &amp; IF(N37="","",TEXT(N37,"M/D")) &amp; " "</f>
        <v xml:space="preserve">100.00% 아두이노 센서 값과 Unity 블루투스 시리얼 통신(김도형, 송주헌) 3/14-3/16 </v>
      </c>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row>
    <row r="38" spans="1:161" outlineLevel="4">
      <c r="A38" s="116"/>
      <c r="B38" s="116"/>
      <c r="C38" s="116">
        <v>5</v>
      </c>
      <c r="D38" s="3" t="s">
        <v>1163</v>
      </c>
      <c r="E38" s="184"/>
      <c r="F38" s="184"/>
      <c r="G38" s="184"/>
      <c r="H38" s="184"/>
      <c r="I38" s="184" t="s">
        <v>1169</v>
      </c>
      <c r="J38" s="184"/>
      <c r="K38" s="184"/>
      <c r="L38" s="184"/>
      <c r="M38" s="185">
        <v>43577</v>
      </c>
      <c r="N38" s="185">
        <v>43581</v>
      </c>
      <c r="O38" s="186"/>
      <c r="P38" s="187">
        <v>5</v>
      </c>
      <c r="Q38" s="187">
        <v>0</v>
      </c>
      <c r="R38" s="188">
        <v>5</v>
      </c>
      <c r="S38" s="188">
        <v>0</v>
      </c>
      <c r="T38" s="185"/>
      <c r="U38" s="185"/>
      <c r="V38" s="189"/>
      <c r="W38" s="190">
        <v>0</v>
      </c>
      <c r="X38" s="191">
        <v>1</v>
      </c>
      <c r="Y38" s="216" t="s">
        <v>1168</v>
      </c>
      <c r="Z38" s="192"/>
      <c r="AA38" s="97">
        <v>0</v>
      </c>
      <c r="AB38" s="193">
        <v>0</v>
      </c>
      <c r="AC38" s="123"/>
      <c r="AD38" s="4"/>
      <c r="AE38" s="4"/>
      <c r="AF38" s="4"/>
      <c r="AG38" s="4"/>
      <c r="AH38" s="4"/>
      <c r="AI38" s="4"/>
      <c r="AJ38" s="4"/>
      <c r="AK38" s="4"/>
      <c r="AL38" s="4" t="str">
        <f>" " &amp; TEXT(AB38,"#0.00%") &amp; " " &amp; "프로토타입용 드럼 개발" &amp; "(숭주헌)" &amp; " " &amp; IF(M38="","",TEXT(M38,"M/D-")) &amp; IF(N38="","",TEXT(N38,"M/D")) &amp; " "</f>
        <v xml:space="preserve"> 0.00% 프로토타입용 드럼 개발(숭주헌) 4/22-4/26 </v>
      </c>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row>
    <row r="39" spans="1:161" outlineLevel="4">
      <c r="A39" s="116"/>
      <c r="B39" s="116"/>
      <c r="C39" s="116">
        <v>0</v>
      </c>
      <c r="D39" s="3"/>
      <c r="E39" s="184"/>
      <c r="F39" s="184"/>
      <c r="G39" s="184"/>
      <c r="H39" s="184"/>
      <c r="I39" s="184"/>
      <c r="J39" s="184"/>
      <c r="K39" s="184"/>
      <c r="L39" s="184"/>
      <c r="M39" s="185"/>
      <c r="N39" s="185"/>
      <c r="O39" s="186"/>
      <c r="P39" s="187"/>
      <c r="Q39" s="187"/>
      <c r="R39" s="188">
        <v>0</v>
      </c>
      <c r="S39" s="188">
        <v>0</v>
      </c>
      <c r="T39" s="185"/>
      <c r="U39" s="185"/>
      <c r="V39" s="189"/>
      <c r="W39" s="190">
        <v>0</v>
      </c>
      <c r="X39" s="191"/>
      <c r="Y39" s="186"/>
      <c r="Z39" s="192"/>
      <c r="AA39" s="97"/>
      <c r="AB39" s="193"/>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row>
    <row r="40" spans="1:161" outlineLevel="3">
      <c r="A40" s="116"/>
      <c r="B40" s="116" t="s">
        <v>1071</v>
      </c>
      <c r="C40" s="116">
        <v>4</v>
      </c>
      <c r="D40" s="219" t="s">
        <v>1083</v>
      </c>
      <c r="E40" s="220"/>
      <c r="F40" s="220"/>
      <c r="G40" s="220"/>
      <c r="H40" s="221" t="s">
        <v>1173</v>
      </c>
      <c r="I40" s="221"/>
      <c r="J40" s="220"/>
      <c r="K40" s="220"/>
      <c r="L40" s="220"/>
      <c r="M40" s="222">
        <v>43538</v>
      </c>
      <c r="N40" s="222">
        <v>43580</v>
      </c>
      <c r="O40" s="223"/>
      <c r="P40" s="224">
        <v>104</v>
      </c>
      <c r="Q40" s="224">
        <v>63</v>
      </c>
      <c r="R40" s="225">
        <v>43</v>
      </c>
      <c r="S40" s="225">
        <v>17</v>
      </c>
      <c r="T40" s="222"/>
      <c r="U40" s="222"/>
      <c r="V40" s="226">
        <v>0</v>
      </c>
      <c r="W40" s="227">
        <v>0</v>
      </c>
      <c r="X40" s="228"/>
      <c r="Y40" s="223"/>
      <c r="Z40" s="245"/>
      <c r="AA40" s="230">
        <v>0.60576923076923073</v>
      </c>
      <c r="AB40" s="231">
        <v>0.17596153846153847</v>
      </c>
      <c r="AC40" s="123"/>
      <c r="AD40" s="4"/>
      <c r="AE40" s="4"/>
      <c r="AF40" s="4"/>
      <c r="AG40" s="4" t="str">
        <f>"     " &amp; TEXT(AB40,"#0.00%") &amp; " "</f>
        <v xml:space="preserve">     17.60% </v>
      </c>
      <c r="AH40" s="4"/>
      <c r="AI40" s="4"/>
      <c r="AJ40" s="4"/>
      <c r="AK40" s="4"/>
      <c r="AL40" s="4" t="str">
        <f>"     " &amp; "게임구현(유니티)" &amp; " " &amp; IF(M40="","",TEXT(M40,"M/D-")) &amp; IF(N40="","",TEXT(N40,"M/D")) &amp; " "</f>
        <v xml:space="preserve">     게임구현(유니티) 3/14-4/25 </v>
      </c>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row>
    <row r="41" spans="1:161" outlineLevel="4">
      <c r="A41" s="116"/>
      <c r="B41" s="116" t="s">
        <v>1071</v>
      </c>
      <c r="C41" s="116">
        <v>5</v>
      </c>
      <c r="D41" s="219" t="s">
        <v>1084</v>
      </c>
      <c r="E41" s="220"/>
      <c r="F41" s="220"/>
      <c r="G41" s="220"/>
      <c r="H41" s="221"/>
      <c r="I41" s="221" t="s">
        <v>1245</v>
      </c>
      <c r="J41" s="220"/>
      <c r="K41" s="220"/>
      <c r="L41" s="220"/>
      <c r="M41" s="222">
        <v>43549</v>
      </c>
      <c r="N41" s="222">
        <v>43554</v>
      </c>
      <c r="O41" s="223"/>
      <c r="P41" s="224">
        <v>12</v>
      </c>
      <c r="Q41" s="224">
        <v>12</v>
      </c>
      <c r="R41" s="225">
        <v>6</v>
      </c>
      <c r="S41" s="225">
        <v>6</v>
      </c>
      <c r="T41" s="222"/>
      <c r="U41" s="222"/>
      <c r="V41" s="226">
        <v>0</v>
      </c>
      <c r="W41" s="227">
        <v>0</v>
      </c>
      <c r="X41" s="228"/>
      <c r="Y41" s="223"/>
      <c r="Z41" s="245"/>
      <c r="AA41" s="230">
        <v>1</v>
      </c>
      <c r="AB41" s="231">
        <v>0</v>
      </c>
      <c r="AC41" s="123"/>
      <c r="AD41" s="4"/>
      <c r="AE41" s="4"/>
      <c r="AF41" s="4"/>
      <c r="AG41" s="4"/>
      <c r="AH41" s="4" t="str">
        <f>" " &amp; TEXT(AB41,"#0.00%") &amp; " " &amp; "게임 내 로그인 구현" &amp; " " &amp; IF(M41="","",TEXT(M41,"M/D-")) &amp; IF(N41="","",TEXT(N41,"M/D")) &amp; " "</f>
        <v xml:space="preserve"> 0.00% 게임 내 로그인 구현 3/25-3/30 </v>
      </c>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row>
    <row r="42" spans="1:161" outlineLevel="5">
      <c r="A42" s="116"/>
      <c r="B42" s="116"/>
      <c r="C42" s="116">
        <v>6</v>
      </c>
      <c r="D42" s="3" t="s">
        <v>1017</v>
      </c>
      <c r="E42" s="184"/>
      <c r="F42" s="184"/>
      <c r="G42" s="184"/>
      <c r="H42" s="217"/>
      <c r="I42" s="217"/>
      <c r="J42" s="184" t="s">
        <v>1246</v>
      </c>
      <c r="K42" s="184"/>
      <c r="L42" s="184"/>
      <c r="M42" s="185">
        <v>43549</v>
      </c>
      <c r="N42" s="185">
        <v>43550</v>
      </c>
      <c r="O42" s="186"/>
      <c r="P42" s="187">
        <v>2</v>
      </c>
      <c r="Q42" s="187">
        <v>2</v>
      </c>
      <c r="R42" s="188">
        <v>2</v>
      </c>
      <c r="S42" s="188">
        <v>2</v>
      </c>
      <c r="T42" s="185"/>
      <c r="U42" s="185"/>
      <c r="V42" s="189"/>
      <c r="W42" s="190">
        <v>0</v>
      </c>
      <c r="X42" s="191">
        <v>1</v>
      </c>
      <c r="Y42" s="216" t="s">
        <v>1129</v>
      </c>
      <c r="Z42" s="192"/>
      <c r="AA42" s="97">
        <v>1</v>
      </c>
      <c r="AB42" s="193">
        <v>0</v>
      </c>
      <c r="AC42" s="123"/>
      <c r="AD42" s="4"/>
      <c r="AE42" s="4"/>
      <c r="AF42" s="4"/>
      <c r="AG42" s="4"/>
      <c r="AH42" s="4" t="str">
        <f>" " &amp; TEXT(AB42,"#0.00%") &amp; " " &amp; "로그인 씬 구현" &amp; "(김가연)" &amp; " " &amp; IF(M42="","",TEXT(M42,"M/D-")) &amp; IF(N42="","",TEXT(N42,"M/D")) &amp; " "</f>
        <v xml:space="preserve"> 0.00% 로그인 씬 구현(김가연) 3/25-3/26 </v>
      </c>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row>
    <row r="43" spans="1:161" outlineLevel="5">
      <c r="A43" s="116"/>
      <c r="B43" s="116"/>
      <c r="C43" s="116">
        <v>6</v>
      </c>
      <c r="D43" s="3" t="s">
        <v>1019</v>
      </c>
      <c r="E43" s="184"/>
      <c r="F43" s="184"/>
      <c r="G43" s="184"/>
      <c r="H43" s="217"/>
      <c r="I43" s="217"/>
      <c r="J43" s="184" t="s">
        <v>1247</v>
      </c>
      <c r="K43" s="184"/>
      <c r="L43" s="184"/>
      <c r="M43" s="185">
        <v>43549</v>
      </c>
      <c r="N43" s="185">
        <v>43550</v>
      </c>
      <c r="O43" s="186"/>
      <c r="P43" s="187">
        <v>2</v>
      </c>
      <c r="Q43" s="187">
        <v>2</v>
      </c>
      <c r="R43" s="188">
        <v>2</v>
      </c>
      <c r="S43" s="188">
        <v>2</v>
      </c>
      <c r="T43" s="185"/>
      <c r="U43" s="185"/>
      <c r="V43" s="189"/>
      <c r="W43" s="190">
        <v>0</v>
      </c>
      <c r="X43" s="191">
        <v>1</v>
      </c>
      <c r="Y43" s="216" t="s">
        <v>1129</v>
      </c>
      <c r="Z43" s="192"/>
      <c r="AA43" s="97">
        <v>1</v>
      </c>
      <c r="AB43" s="193">
        <v>0</v>
      </c>
      <c r="AC43" s="123"/>
      <c r="AD43" s="4"/>
      <c r="AE43" s="4"/>
      <c r="AF43" s="4"/>
      <c r="AG43" s="4"/>
      <c r="AH43" s="4" t="str">
        <f>" " &amp; TEXT(AB43,"#0.00%") &amp; " " &amp; "회원가입 씬 구현" &amp; "(김가연)" &amp; " " &amp; IF(M43="","",TEXT(M43,"M/D-")) &amp; IF(N43="","",TEXT(N43,"M/D")) &amp; " "</f>
        <v xml:space="preserve"> 0.00% 회원가입 씬 구현(김가연) 3/25-3/26 </v>
      </c>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row>
    <row r="44" spans="1:161" outlineLevel="5">
      <c r="A44" s="116"/>
      <c r="B44" s="116"/>
      <c r="C44" s="116">
        <v>6</v>
      </c>
      <c r="D44" s="3" t="s">
        <v>1021</v>
      </c>
      <c r="E44" s="184"/>
      <c r="F44" s="184"/>
      <c r="G44" s="184"/>
      <c r="H44" s="217"/>
      <c r="I44" s="217"/>
      <c r="J44" s="184" t="s">
        <v>1248</v>
      </c>
      <c r="K44" s="184"/>
      <c r="L44" s="184"/>
      <c r="M44" s="185">
        <v>43550</v>
      </c>
      <c r="N44" s="185">
        <v>43551</v>
      </c>
      <c r="O44" s="186"/>
      <c r="P44" s="187">
        <v>2</v>
      </c>
      <c r="Q44" s="187">
        <v>2</v>
      </c>
      <c r="R44" s="188">
        <v>2</v>
      </c>
      <c r="S44" s="188">
        <v>2</v>
      </c>
      <c r="T44" s="185"/>
      <c r="U44" s="185"/>
      <c r="V44" s="189"/>
      <c r="W44" s="190">
        <v>0</v>
      </c>
      <c r="X44" s="191">
        <v>1</v>
      </c>
      <c r="Y44" s="216" t="s">
        <v>1225</v>
      </c>
      <c r="Z44" s="192"/>
      <c r="AA44" s="97">
        <v>1</v>
      </c>
      <c r="AB44" s="193">
        <v>0</v>
      </c>
      <c r="AC44" s="123"/>
      <c r="AD44" s="4"/>
      <c r="AE44" s="4"/>
      <c r="AF44" s="4"/>
      <c r="AG44" s="4"/>
      <c r="AH44" s="4" t="str">
        <f>"  " &amp; TEXT(AB44,"#0.00%") &amp; " " &amp; "회원가입 기능 구현" &amp; "(김도형, 김가연)" &amp; " " &amp; IF(M44="","",TEXT(M44,"M/D-")) &amp; IF(N44="","",TEXT(N44,"M/D")) &amp; " "</f>
        <v xml:space="preserve">  0.00% 회원가입 기능 구현(김도형, 김가연) 3/26-3/27 </v>
      </c>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row>
    <row r="45" spans="1:161" outlineLevel="5">
      <c r="A45" s="116"/>
      <c r="B45" s="116"/>
      <c r="C45" s="116">
        <v>6</v>
      </c>
      <c r="D45" s="3" t="s">
        <v>1181</v>
      </c>
      <c r="E45" s="184"/>
      <c r="F45" s="184"/>
      <c r="G45" s="184"/>
      <c r="H45" s="217"/>
      <c r="I45" s="217"/>
      <c r="J45" s="184" t="s">
        <v>1249</v>
      </c>
      <c r="K45" s="184"/>
      <c r="L45" s="184"/>
      <c r="M45" s="185">
        <v>43551</v>
      </c>
      <c r="N45" s="185">
        <v>43552</v>
      </c>
      <c r="O45" s="186"/>
      <c r="P45" s="187">
        <v>2</v>
      </c>
      <c r="Q45" s="187">
        <v>2</v>
      </c>
      <c r="R45" s="188">
        <v>2</v>
      </c>
      <c r="S45" s="188">
        <v>2</v>
      </c>
      <c r="T45" s="185"/>
      <c r="U45" s="185"/>
      <c r="V45" s="189"/>
      <c r="W45" s="190">
        <v>0</v>
      </c>
      <c r="X45" s="191">
        <v>1</v>
      </c>
      <c r="Y45" s="216" t="s">
        <v>1225</v>
      </c>
      <c r="Z45" s="192"/>
      <c r="AA45" s="97">
        <v>1</v>
      </c>
      <c r="AB45" s="193">
        <v>0</v>
      </c>
      <c r="AC45" s="123"/>
      <c r="AD45" s="4"/>
      <c r="AE45" s="4"/>
      <c r="AF45" s="4"/>
      <c r="AG45" s="4"/>
      <c r="AH45" s="4" t="str">
        <f>"   " &amp; TEXT(AB45,"#0.00%") &amp; " " &amp; "로그인 기능 구현" &amp; "(김도형, 김가연)" &amp; " " &amp; IF(M45="","",TEXT(M45,"M/D-")) &amp; IF(N45="","",TEXT(N45,"M/D")) &amp; " "</f>
        <v xml:space="preserve">   0.00% 로그인 기능 구현(김도형, 김가연) 3/27-3/28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row>
    <row r="46" spans="1:161" outlineLevel="5">
      <c r="A46" s="116"/>
      <c r="B46" s="116"/>
      <c r="C46" s="116">
        <v>6</v>
      </c>
      <c r="D46" s="3" t="s">
        <v>1184</v>
      </c>
      <c r="E46" s="184"/>
      <c r="F46" s="184"/>
      <c r="G46" s="184"/>
      <c r="H46" s="217"/>
      <c r="I46" s="217"/>
      <c r="J46" s="184" t="s">
        <v>1250</v>
      </c>
      <c r="K46" s="184"/>
      <c r="L46" s="184"/>
      <c r="M46" s="185">
        <v>43552</v>
      </c>
      <c r="N46" s="185">
        <v>43553</v>
      </c>
      <c r="O46" s="186"/>
      <c r="P46" s="187">
        <v>2</v>
      </c>
      <c r="Q46" s="187">
        <v>2</v>
      </c>
      <c r="R46" s="188">
        <v>2</v>
      </c>
      <c r="S46" s="188">
        <v>2</v>
      </c>
      <c r="T46" s="185"/>
      <c r="U46" s="185"/>
      <c r="V46" s="189"/>
      <c r="W46" s="190">
        <v>0</v>
      </c>
      <c r="X46" s="191">
        <v>1</v>
      </c>
      <c r="Y46" s="216" t="s">
        <v>1225</v>
      </c>
      <c r="Z46" s="192"/>
      <c r="AA46" s="97">
        <v>1</v>
      </c>
      <c r="AB46" s="193">
        <v>0</v>
      </c>
      <c r="AC46" s="123"/>
      <c r="AD46" s="4"/>
      <c r="AE46" s="4"/>
      <c r="AF46" s="4"/>
      <c r="AG46" s="4"/>
      <c r="AH46" s="4" t="str">
        <f>"    " &amp; TEXT(AB46,"#0.00%") &amp; " " &amp; "구글 연동" &amp; "(김도형, 김가연)" &amp; " " &amp; IF(M46="","",TEXT(M46,"M/D-")) &amp; IF(N46="","",TEXT(N46,"M/D")) &amp; " "</f>
        <v xml:space="preserve">    0.00% 구글 연동(김도형, 김가연) 3/28-3/29 </v>
      </c>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row>
    <row r="47" spans="1:161" outlineLevel="5">
      <c r="A47" s="116"/>
      <c r="B47" s="116"/>
      <c r="C47" s="116">
        <v>6</v>
      </c>
      <c r="D47" s="3" t="s">
        <v>1185</v>
      </c>
      <c r="E47" s="184"/>
      <c r="F47" s="184"/>
      <c r="G47" s="184"/>
      <c r="H47" s="217"/>
      <c r="I47" s="217"/>
      <c r="J47" s="184" t="s">
        <v>1251</v>
      </c>
      <c r="K47" s="184"/>
      <c r="L47" s="184"/>
      <c r="M47" s="185">
        <v>43553</v>
      </c>
      <c r="N47" s="185">
        <v>43554</v>
      </c>
      <c r="O47" s="186"/>
      <c r="P47" s="187">
        <v>2</v>
      </c>
      <c r="Q47" s="187">
        <v>2</v>
      </c>
      <c r="R47" s="188">
        <v>2</v>
      </c>
      <c r="S47" s="188">
        <v>2</v>
      </c>
      <c r="T47" s="185"/>
      <c r="U47" s="185"/>
      <c r="V47" s="189"/>
      <c r="W47" s="190">
        <v>0</v>
      </c>
      <c r="X47" s="191">
        <v>1</v>
      </c>
      <c r="Y47" s="216" t="s">
        <v>1225</v>
      </c>
      <c r="Z47" s="192"/>
      <c r="AA47" s="97">
        <v>1</v>
      </c>
      <c r="AB47" s="193">
        <v>0</v>
      </c>
      <c r="AC47" s="123"/>
      <c r="AD47" s="4"/>
      <c r="AE47" s="4"/>
      <c r="AF47" s="4"/>
      <c r="AG47" s="4"/>
      <c r="AH47" s="4" t="str">
        <f>"     " &amp; TEXT(AB47,"#0.00%") &amp; " " &amp; "구글 자동 로그인" &amp; "(김도형, 김가연)" &amp; " " &amp; IF(M47="","",TEXT(M47,"M/D-")) &amp; IF(N47="","",TEXT(N47,"M/D")) &amp; " "</f>
        <v xml:space="preserve">     0.00% 구글 자동 로그인(김도형, 김가연) 3/29-3/30 </v>
      </c>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row>
    <row r="48" spans="1:161" outlineLevel="4">
      <c r="A48" s="116"/>
      <c r="B48" s="116" t="s">
        <v>1071</v>
      </c>
      <c r="C48" s="116">
        <v>5</v>
      </c>
      <c r="D48" s="3" t="s">
        <v>1023</v>
      </c>
      <c r="E48" s="184"/>
      <c r="F48" s="184"/>
      <c r="G48" s="184"/>
      <c r="H48" s="184"/>
      <c r="I48" s="217" t="s">
        <v>1174</v>
      </c>
      <c r="J48" s="184"/>
      <c r="K48" s="184"/>
      <c r="L48" s="184"/>
      <c r="M48" s="185">
        <v>43538</v>
      </c>
      <c r="N48" s="185">
        <v>43548</v>
      </c>
      <c r="O48" s="186"/>
      <c r="P48" s="187">
        <v>14</v>
      </c>
      <c r="Q48" s="187">
        <v>14</v>
      </c>
      <c r="R48" s="188">
        <v>11</v>
      </c>
      <c r="S48" s="188">
        <v>11</v>
      </c>
      <c r="T48" s="185"/>
      <c r="U48" s="185"/>
      <c r="V48" s="189">
        <v>0</v>
      </c>
      <c r="W48" s="190">
        <v>0</v>
      </c>
      <c r="X48" s="191"/>
      <c r="Y48" s="216"/>
      <c r="Z48" s="192"/>
      <c r="AA48" s="97">
        <v>1</v>
      </c>
      <c r="AB48" s="193">
        <v>0.52142857142857146</v>
      </c>
      <c r="AC48" s="123"/>
      <c r="AD48" s="4"/>
      <c r="AE48" s="4"/>
      <c r="AF48" s="4"/>
      <c r="AG48" s="4" t="str">
        <f>"   " &amp; TEXT(AB48,"#0.00%") &amp; " " &amp; "프리모드" &amp; " " &amp; IF(M48="","",TEXT(M48,"M/D-")) &amp; IF(N48="","",TEXT(N48,"M/D")) &amp; " "</f>
        <v xml:space="preserve">   52.14% 프리모드 3/14-3/24 </v>
      </c>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row>
    <row r="49" spans="1:161" outlineLevel="5">
      <c r="A49" s="116"/>
      <c r="B49" s="116"/>
      <c r="C49" s="116">
        <v>6</v>
      </c>
      <c r="D49" s="3" t="s">
        <v>1218</v>
      </c>
      <c r="E49" s="184"/>
      <c r="F49" s="184"/>
      <c r="G49" s="184"/>
      <c r="H49" s="184"/>
      <c r="I49" s="217"/>
      <c r="J49" s="184" t="s">
        <v>1177</v>
      </c>
      <c r="K49" s="184"/>
      <c r="L49" s="184"/>
      <c r="M49" s="185">
        <v>43538</v>
      </c>
      <c r="N49" s="185">
        <v>43538</v>
      </c>
      <c r="O49" s="186"/>
      <c r="P49" s="187">
        <v>1</v>
      </c>
      <c r="Q49" s="187">
        <v>1</v>
      </c>
      <c r="R49" s="188">
        <v>1</v>
      </c>
      <c r="S49" s="188">
        <v>1</v>
      </c>
      <c r="T49" s="185"/>
      <c r="U49" s="185"/>
      <c r="V49" s="189"/>
      <c r="W49" s="190">
        <v>0</v>
      </c>
      <c r="X49" s="191">
        <v>1</v>
      </c>
      <c r="Y49" s="216" t="s">
        <v>1129</v>
      </c>
      <c r="Z49" s="192"/>
      <c r="AA49" s="97">
        <v>1</v>
      </c>
      <c r="AB49" s="193">
        <v>1</v>
      </c>
      <c r="AC49" s="123"/>
      <c r="AD49" s="4"/>
      <c r="AE49" s="4"/>
      <c r="AF49" s="4" t="str">
        <f>"     " &amp; TEXT(AB49,"#0.00%") &amp; " " &amp; "노래선택 화면 씬 구현" &amp; "(김가연)" &amp; " " &amp; IF(M49="","",TEXT(M49,"M/D-")) &amp; IF(N49="","",TEXT(N49,"M/D")) &amp; " "</f>
        <v xml:space="preserve">     100.00% 노래선택 화면 씬 구현(김가연) 3/14-3/14 </v>
      </c>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row>
    <row r="50" spans="1:161" outlineLevel="5">
      <c r="A50" s="116"/>
      <c r="B50" s="116"/>
      <c r="C50" s="116">
        <v>6</v>
      </c>
      <c r="D50" s="3" t="s">
        <v>1219</v>
      </c>
      <c r="E50" s="184"/>
      <c r="F50" s="184"/>
      <c r="G50" s="184"/>
      <c r="H50" s="184"/>
      <c r="I50" s="217"/>
      <c r="J50" s="184" t="s">
        <v>1178</v>
      </c>
      <c r="K50" s="184"/>
      <c r="L50" s="184"/>
      <c r="M50" s="185">
        <v>43538</v>
      </c>
      <c r="N50" s="185">
        <v>43540</v>
      </c>
      <c r="O50" s="186"/>
      <c r="P50" s="187">
        <v>3</v>
      </c>
      <c r="Q50" s="187">
        <v>3</v>
      </c>
      <c r="R50" s="188">
        <v>3</v>
      </c>
      <c r="S50" s="188">
        <v>3</v>
      </c>
      <c r="T50" s="185"/>
      <c r="U50" s="185"/>
      <c r="V50" s="189"/>
      <c r="W50" s="190">
        <v>0</v>
      </c>
      <c r="X50" s="191">
        <v>1</v>
      </c>
      <c r="Y50" s="216" t="s">
        <v>1129</v>
      </c>
      <c r="Z50" s="192"/>
      <c r="AA50" s="97">
        <v>1</v>
      </c>
      <c r="AB50" s="193">
        <v>0.6</v>
      </c>
      <c r="AC50" s="123"/>
      <c r="AD50" s="4"/>
      <c r="AE50" s="4"/>
      <c r="AF50" s="4" t="str">
        <f>"      " &amp; TEXT(AB50,"#0.00%") &amp; " " &amp; "사용자 로컬의 오디오 파일 불러오기 Test" &amp; "(김가연)" &amp; " " &amp; IF(M50="","",TEXT(M50,"M/D-")) &amp; IF(N50="","",TEXT(N50,"M/D")) &amp; " "</f>
        <v xml:space="preserve">      60.00% 사용자 로컬의 오디오 파일 불러오기 Test(김가연) 3/14-3/16 </v>
      </c>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row>
    <row r="51" spans="1:161" outlineLevel="5">
      <c r="A51" s="116"/>
      <c r="B51" s="116"/>
      <c r="C51" s="116">
        <v>6</v>
      </c>
      <c r="D51" s="232" t="s">
        <v>1220</v>
      </c>
      <c r="E51" s="233"/>
      <c r="F51" s="233"/>
      <c r="G51" s="233"/>
      <c r="H51" s="233"/>
      <c r="I51" s="233"/>
      <c r="J51" s="233" t="s">
        <v>1179</v>
      </c>
      <c r="K51" s="233"/>
      <c r="L51" s="233"/>
      <c r="M51" s="234">
        <v>43538</v>
      </c>
      <c r="N51" s="234">
        <v>43538</v>
      </c>
      <c r="O51" s="235"/>
      <c r="P51" s="236">
        <v>1</v>
      </c>
      <c r="Q51" s="236">
        <v>1</v>
      </c>
      <c r="R51" s="237">
        <v>1</v>
      </c>
      <c r="S51" s="237">
        <v>1</v>
      </c>
      <c r="T51" s="234"/>
      <c r="U51" s="234"/>
      <c r="V51" s="238"/>
      <c r="W51" s="239">
        <v>0</v>
      </c>
      <c r="X51" s="240">
        <v>1</v>
      </c>
      <c r="Y51" s="241" t="s">
        <v>1129</v>
      </c>
      <c r="Z51" s="242"/>
      <c r="AA51" s="243">
        <v>1</v>
      </c>
      <c r="AB51" s="244">
        <v>1</v>
      </c>
      <c r="AC51" s="123"/>
      <c r="AD51" s="4"/>
      <c r="AE51" s="4"/>
      <c r="AF51" s="4" t="str">
        <f>"     " &amp; TEXT(AB51,"#0.00%") &amp; " " &amp; "게임화면 씬 구현" &amp; "(김가연)" &amp; " " &amp; IF(M51="","",TEXT(M51,"M/D-")) &amp; IF(N51="","",TEXT(N51,"M/D")) &amp; " "</f>
        <v xml:space="preserve">     100.00% 게임화면 씬 구현(김가연) 3/14-3/14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row>
    <row r="52" spans="1:161" outlineLevel="5">
      <c r="A52" s="116"/>
      <c r="B52" s="116"/>
      <c r="C52" s="116">
        <v>6</v>
      </c>
      <c r="D52" s="232" t="s">
        <v>1221</v>
      </c>
      <c r="E52" s="233"/>
      <c r="F52" s="233"/>
      <c r="G52" s="233"/>
      <c r="H52" s="233"/>
      <c r="I52" s="246"/>
      <c r="J52" s="233" t="s">
        <v>1180</v>
      </c>
      <c r="K52" s="233"/>
      <c r="L52" s="246" t="s">
        <v>1238</v>
      </c>
      <c r="M52" s="234">
        <v>43538</v>
      </c>
      <c r="N52" s="234">
        <v>43538</v>
      </c>
      <c r="O52" s="235"/>
      <c r="P52" s="236">
        <v>1</v>
      </c>
      <c r="Q52" s="236">
        <v>1</v>
      </c>
      <c r="R52" s="237">
        <v>1</v>
      </c>
      <c r="S52" s="237">
        <v>1</v>
      </c>
      <c r="T52" s="234"/>
      <c r="U52" s="234"/>
      <c r="V52" s="238"/>
      <c r="W52" s="239">
        <v>0</v>
      </c>
      <c r="X52" s="240">
        <v>1</v>
      </c>
      <c r="Y52" s="241" t="s">
        <v>1129</v>
      </c>
      <c r="Z52" s="242"/>
      <c r="AA52" s="243">
        <v>1</v>
      </c>
      <c r="AB52" s="244">
        <v>1</v>
      </c>
      <c r="AC52" s="123"/>
      <c r="AD52" s="4"/>
      <c r="AE52" s="4"/>
      <c r="AF52" s="4" t="str">
        <f>"     " &amp; TEXT(AB52,"#0.00%") &amp; " " &amp; "화면 터치 시의 씬 구현" &amp; "(김가연)" &amp; " " &amp; IF(M52="","",TEXT(M52,"M/D-")) &amp; IF(N52="","",TEXT(N52,"M/D")) &amp; " "</f>
        <v xml:space="preserve">     100.00% 화면 터치 시의 씬 구현(김가연) 3/14-3/14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row>
    <row r="53" spans="1:161" outlineLevel="5">
      <c r="A53" s="116"/>
      <c r="B53" s="116"/>
      <c r="C53" s="116">
        <v>6</v>
      </c>
      <c r="D53" s="232" t="s">
        <v>1222</v>
      </c>
      <c r="E53" s="233"/>
      <c r="F53" s="233"/>
      <c r="G53" s="233"/>
      <c r="H53" s="233"/>
      <c r="I53" s="246"/>
      <c r="J53" s="233" t="s">
        <v>1187</v>
      </c>
      <c r="K53" s="233"/>
      <c r="L53" s="233"/>
      <c r="M53" s="234">
        <v>43547</v>
      </c>
      <c r="N53" s="234">
        <v>43548</v>
      </c>
      <c r="O53" s="235"/>
      <c r="P53" s="236">
        <v>2</v>
      </c>
      <c r="Q53" s="236">
        <v>2</v>
      </c>
      <c r="R53" s="237">
        <v>2</v>
      </c>
      <c r="S53" s="237">
        <v>2</v>
      </c>
      <c r="T53" s="234"/>
      <c r="U53" s="234"/>
      <c r="V53" s="238"/>
      <c r="W53" s="239">
        <v>0</v>
      </c>
      <c r="X53" s="240">
        <v>1</v>
      </c>
      <c r="Y53" s="241" t="s">
        <v>1129</v>
      </c>
      <c r="Z53" s="242"/>
      <c r="AA53" s="243">
        <v>1</v>
      </c>
      <c r="AB53" s="244">
        <v>0.5</v>
      </c>
      <c r="AC53" s="123"/>
      <c r="AD53" s="4"/>
      <c r="AE53" s="4"/>
      <c r="AF53" s="4"/>
      <c r="AG53" s="4"/>
      <c r="AH53" s="4" t="str">
        <f>"" &amp; TEXT(AB53,"#0.00%") &amp; " " &amp; "게임 화면 녹화 기능" &amp; "(김가연)" &amp; " " &amp; IF(M53="","",TEXT(M53,"M/D-")) &amp; IF(N53="","",TEXT(N53,"M/D")) &amp; " "</f>
        <v xml:space="preserve">50.00% 게임 화면 녹화 기능(김가연) 3/23-3/24 </v>
      </c>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row>
    <row r="54" spans="1:161" outlineLevel="5">
      <c r="A54" s="116"/>
      <c r="B54" s="116"/>
      <c r="C54" s="116">
        <v>6</v>
      </c>
      <c r="D54" s="232" t="s">
        <v>1223</v>
      </c>
      <c r="E54" s="233"/>
      <c r="F54" s="233"/>
      <c r="G54" s="233"/>
      <c r="H54" s="233"/>
      <c r="I54" s="246"/>
      <c r="J54" s="233" t="s">
        <v>1182</v>
      </c>
      <c r="K54" s="233"/>
      <c r="L54" s="233"/>
      <c r="M54" s="234">
        <v>43545</v>
      </c>
      <c r="N54" s="234">
        <v>43545</v>
      </c>
      <c r="O54" s="235"/>
      <c r="P54" s="236">
        <v>1</v>
      </c>
      <c r="Q54" s="236">
        <v>1</v>
      </c>
      <c r="R54" s="237">
        <v>1</v>
      </c>
      <c r="S54" s="237">
        <v>1</v>
      </c>
      <c r="T54" s="234"/>
      <c r="U54" s="234"/>
      <c r="V54" s="238"/>
      <c r="W54" s="239">
        <v>0</v>
      </c>
      <c r="X54" s="240">
        <v>1</v>
      </c>
      <c r="Y54" s="241" t="s">
        <v>1123</v>
      </c>
      <c r="Z54" s="242"/>
      <c r="AA54" s="243">
        <v>1</v>
      </c>
      <c r="AB54" s="244">
        <v>0.5</v>
      </c>
      <c r="AC54" s="123"/>
      <c r="AD54" s="4"/>
      <c r="AE54" s="4"/>
      <c r="AF54" s="4"/>
      <c r="AG54" s="4" t="str">
        <f>"    " &amp; TEXT(AB54,"#0.00%") &amp; " " &amp; "노트 값 생성" &amp; "(김도형)" &amp; " " &amp; IF(M54="","",TEXT(M54,"M/D-")) &amp; IF(N54="","",TEXT(N54,"M/D")) &amp; " "</f>
        <v xml:space="preserve">    50.00% 노트 값 생성(김도형) 3/21-3/21 </v>
      </c>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row>
    <row r="55" spans="1:161" outlineLevel="5">
      <c r="A55" s="116"/>
      <c r="B55" s="116"/>
      <c r="C55" s="116">
        <v>6</v>
      </c>
      <c r="D55" s="232" t="s">
        <v>1224</v>
      </c>
      <c r="E55" s="233"/>
      <c r="F55" s="233"/>
      <c r="G55" s="233"/>
      <c r="H55" s="233"/>
      <c r="I55" s="246"/>
      <c r="J55" s="233" t="s">
        <v>1183</v>
      </c>
      <c r="K55" s="233"/>
      <c r="L55" s="233"/>
      <c r="M55" s="234">
        <v>43545</v>
      </c>
      <c r="N55" s="234">
        <v>43545</v>
      </c>
      <c r="O55" s="235"/>
      <c r="P55" s="236">
        <v>1</v>
      </c>
      <c r="Q55" s="236">
        <v>1</v>
      </c>
      <c r="R55" s="237">
        <v>1</v>
      </c>
      <c r="S55" s="237">
        <v>1</v>
      </c>
      <c r="T55" s="234"/>
      <c r="U55" s="234"/>
      <c r="V55" s="238"/>
      <c r="W55" s="239">
        <v>0</v>
      </c>
      <c r="X55" s="240">
        <v>1</v>
      </c>
      <c r="Y55" s="241" t="s">
        <v>1123</v>
      </c>
      <c r="Z55" s="242"/>
      <c r="AA55" s="243">
        <v>1</v>
      </c>
      <c r="AB55" s="244">
        <v>0</v>
      </c>
      <c r="AC55" s="123"/>
      <c r="AD55" s="4"/>
      <c r="AE55" s="4"/>
      <c r="AF55" s="4"/>
      <c r="AG55" s="4" t="str">
        <f>"    " &amp; TEXT(AB55,"#0.00%") &amp; " " &amp; "노트 값 txt 저장" &amp; "(김도형)" &amp; " " &amp; IF(M55="","",TEXT(M55,"M/D-")) &amp; IF(N55="","",TEXT(N55,"M/D")) &amp; " "</f>
        <v xml:space="preserve">    0.00% 노트 값 txt 저장(김도형) 3/21-3/21 </v>
      </c>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row>
    <row r="56" spans="1:161" outlineLevel="5">
      <c r="A56" s="116"/>
      <c r="B56" s="116"/>
      <c r="C56" s="116">
        <v>6</v>
      </c>
      <c r="D56" s="232" t="s">
        <v>1231</v>
      </c>
      <c r="E56" s="233"/>
      <c r="F56" s="233"/>
      <c r="G56" s="233"/>
      <c r="H56" s="233"/>
      <c r="I56" s="246"/>
      <c r="J56" s="233" t="s">
        <v>1186</v>
      </c>
      <c r="K56" s="233"/>
      <c r="L56" s="233"/>
      <c r="M56" s="234">
        <v>43539</v>
      </c>
      <c r="N56" s="234">
        <v>43539</v>
      </c>
      <c r="O56" s="235"/>
      <c r="P56" s="236">
        <v>1</v>
      </c>
      <c r="Q56" s="236">
        <v>1</v>
      </c>
      <c r="R56" s="237">
        <v>1</v>
      </c>
      <c r="S56" s="237">
        <v>1</v>
      </c>
      <c r="T56" s="234"/>
      <c r="U56" s="234"/>
      <c r="V56" s="238"/>
      <c r="W56" s="239">
        <v>0</v>
      </c>
      <c r="X56" s="240">
        <v>1</v>
      </c>
      <c r="Y56" s="241" t="s">
        <v>1129</v>
      </c>
      <c r="Z56" s="242"/>
      <c r="AA56" s="243">
        <v>1</v>
      </c>
      <c r="AB56" s="244">
        <v>1</v>
      </c>
      <c r="AC56" s="123"/>
      <c r="AD56" s="4"/>
      <c r="AE56" s="4"/>
      <c r="AF56" s="4" t="str">
        <f>"      " &amp; TEXT(AB56,"#0.00%") &amp; " " &amp; "게임 종료 씬 구현" &amp; "(김가연)" &amp; " " &amp; IF(M56="","",TEXT(M56,"M/D-")) &amp; IF(N56="","",TEXT(N56,"M/D")) &amp; " "</f>
        <v xml:space="preserve">      100.00% 게임 종료 씬 구현(김가연) 3/15-3/15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row>
    <row r="57" spans="1:161" outlineLevel="5">
      <c r="A57" s="116"/>
      <c r="B57" s="116"/>
      <c r="C57" s="116">
        <v>6</v>
      </c>
      <c r="D57" s="232" t="s">
        <v>1237</v>
      </c>
      <c r="E57" s="233"/>
      <c r="F57" s="233"/>
      <c r="G57" s="233"/>
      <c r="H57" s="233"/>
      <c r="I57" s="246"/>
      <c r="J57" s="233" t="s">
        <v>1188</v>
      </c>
      <c r="K57" s="233"/>
      <c r="L57" s="233"/>
      <c r="M57" s="234">
        <v>43544</v>
      </c>
      <c r="N57" s="234">
        <v>43546</v>
      </c>
      <c r="O57" s="235"/>
      <c r="P57" s="236">
        <v>3</v>
      </c>
      <c r="Q57" s="236">
        <v>3</v>
      </c>
      <c r="R57" s="237">
        <v>3</v>
      </c>
      <c r="S57" s="237">
        <v>3</v>
      </c>
      <c r="T57" s="234"/>
      <c r="U57" s="234"/>
      <c r="V57" s="238"/>
      <c r="W57" s="239">
        <v>0</v>
      </c>
      <c r="X57" s="240">
        <v>1</v>
      </c>
      <c r="Y57" s="241" t="s">
        <v>1225</v>
      </c>
      <c r="Z57" s="242"/>
      <c r="AA57" s="243">
        <v>1</v>
      </c>
      <c r="AB57" s="244">
        <v>0</v>
      </c>
      <c r="AC57" s="123"/>
      <c r="AD57" s="4"/>
      <c r="AE57" s="4"/>
      <c r="AF57" s="4"/>
      <c r="AG57" s="4" t="str">
        <f>"   " &amp; TEXT(AB57,"#0.00%") &amp; " " &amp; "저장하기 클릭 시 DB저장" &amp; "(김도형, 김가연)" &amp; " " &amp; IF(M57="","",TEXT(M57,"M/D-")) &amp; IF(N57="","",TEXT(N57,"M/D")) &amp; " "</f>
        <v xml:space="preserve">   0.00% 저장하기 클릭 시 DB저장(김도형, 김가연) 3/20-3/22 </v>
      </c>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row>
    <row r="58" spans="1:161" outlineLevel="4">
      <c r="A58" s="116"/>
      <c r="B58" s="116" t="s">
        <v>1071</v>
      </c>
      <c r="C58" s="116">
        <v>5</v>
      </c>
      <c r="D58" s="232" t="s">
        <v>1025</v>
      </c>
      <c r="E58" s="233"/>
      <c r="F58" s="233"/>
      <c r="G58" s="233"/>
      <c r="H58" s="233"/>
      <c r="I58" s="246" t="s">
        <v>1175</v>
      </c>
      <c r="J58" s="233"/>
      <c r="K58" s="233"/>
      <c r="L58" s="233"/>
      <c r="M58" s="234">
        <v>43539</v>
      </c>
      <c r="N58" s="234">
        <v>43562</v>
      </c>
      <c r="O58" s="235"/>
      <c r="P58" s="236">
        <v>47</v>
      </c>
      <c r="Q58" s="236">
        <v>37</v>
      </c>
      <c r="R58" s="237">
        <v>24</v>
      </c>
      <c r="S58" s="237">
        <v>16</v>
      </c>
      <c r="T58" s="234"/>
      <c r="U58" s="234"/>
      <c r="V58" s="238">
        <v>0</v>
      </c>
      <c r="W58" s="239">
        <v>0</v>
      </c>
      <c r="X58" s="240"/>
      <c r="Y58" s="241"/>
      <c r="Z58" s="242"/>
      <c r="AA58" s="243">
        <v>0.78723404255319152</v>
      </c>
      <c r="AB58" s="244">
        <v>0.14893617021276595</v>
      </c>
      <c r="AC58" s="123"/>
      <c r="AD58" s="4"/>
      <c r="AE58" s="4"/>
      <c r="AF58" s="4"/>
      <c r="AG58" s="4" t="str">
        <f>"  " &amp; TEXT(AB58,"#0.00%") &amp; " "</f>
        <v xml:space="preserve">  14.89% </v>
      </c>
      <c r="AH58" s="4"/>
      <c r="AI58" s="4"/>
      <c r="AJ58" s="4" t="str">
        <f>" " &amp; "연주모드" &amp; " " &amp; IF(M58="","",TEXT(M58,"M/D-")) &amp; IF(N58="","",TEXT(N58,"M/D")) &amp; " "</f>
        <v xml:space="preserve"> 연주모드 3/15-4/7 </v>
      </c>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row>
    <row r="59" spans="1:161" outlineLevel="5">
      <c r="A59" s="116"/>
      <c r="B59" s="116"/>
      <c r="C59" s="116">
        <v>6</v>
      </c>
      <c r="D59" s="232" t="s">
        <v>1254</v>
      </c>
      <c r="E59" s="233"/>
      <c r="F59" s="233"/>
      <c r="G59" s="233"/>
      <c r="H59" s="233"/>
      <c r="I59" s="246"/>
      <c r="J59" s="233" t="s">
        <v>1177</v>
      </c>
      <c r="K59" s="233"/>
      <c r="L59" s="233"/>
      <c r="M59" s="234">
        <v>43539</v>
      </c>
      <c r="N59" s="234">
        <v>43539</v>
      </c>
      <c r="O59" s="235"/>
      <c r="P59" s="236">
        <v>1</v>
      </c>
      <c r="Q59" s="236">
        <v>1</v>
      </c>
      <c r="R59" s="237">
        <v>1</v>
      </c>
      <c r="S59" s="237">
        <v>1</v>
      </c>
      <c r="T59" s="234"/>
      <c r="U59" s="234"/>
      <c r="V59" s="238"/>
      <c r="W59" s="239">
        <v>0</v>
      </c>
      <c r="X59" s="240">
        <v>1</v>
      </c>
      <c r="Y59" s="241" t="s">
        <v>1129</v>
      </c>
      <c r="Z59" s="242"/>
      <c r="AA59" s="243">
        <v>1</v>
      </c>
      <c r="AB59" s="244">
        <v>1</v>
      </c>
      <c r="AC59" s="123"/>
      <c r="AD59" s="4"/>
      <c r="AE59" s="4"/>
      <c r="AF59" s="4" t="str">
        <f>"      " &amp; TEXT(AB59,"#0.00%") &amp; " " &amp; "노래선택 화면 씬 구현" &amp; "(김가연)" &amp; " " &amp; IF(M59="","",TEXT(M59,"M/D-")) &amp; IF(N59="","",TEXT(N59,"M/D")) &amp; " "</f>
        <v xml:space="preserve">      100.00% 노래선택 화면 씬 구현(김가연) 3/15-3/15 </v>
      </c>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row>
    <row r="60" spans="1:161" outlineLevel="5">
      <c r="A60" s="116"/>
      <c r="B60" s="116"/>
      <c r="C60" s="116">
        <v>6</v>
      </c>
      <c r="D60" s="232" t="s">
        <v>1255</v>
      </c>
      <c r="E60" s="233"/>
      <c r="F60" s="233"/>
      <c r="G60" s="233"/>
      <c r="H60" s="233"/>
      <c r="I60" s="246"/>
      <c r="J60" s="233" t="s">
        <v>1179</v>
      </c>
      <c r="K60" s="233"/>
      <c r="L60" s="233"/>
      <c r="M60" s="234">
        <v>43540</v>
      </c>
      <c r="N60" s="234">
        <v>43540</v>
      </c>
      <c r="O60" s="235"/>
      <c r="P60" s="236">
        <v>1</v>
      </c>
      <c r="Q60" s="236">
        <v>1</v>
      </c>
      <c r="R60" s="237">
        <v>1</v>
      </c>
      <c r="S60" s="237">
        <v>1</v>
      </c>
      <c r="T60" s="234"/>
      <c r="U60" s="234"/>
      <c r="V60" s="238"/>
      <c r="W60" s="239">
        <v>0</v>
      </c>
      <c r="X60" s="240">
        <v>1</v>
      </c>
      <c r="Y60" s="241" t="s">
        <v>1129</v>
      </c>
      <c r="Z60" s="242"/>
      <c r="AA60" s="243">
        <v>1</v>
      </c>
      <c r="AB60" s="244">
        <v>1</v>
      </c>
      <c r="AC60" s="123"/>
      <c r="AD60" s="4"/>
      <c r="AE60" s="4"/>
      <c r="AF60" s="4"/>
      <c r="AG60" s="4" t="str">
        <f>"" &amp; TEXT(AB60,"#0.00%") &amp; " " &amp; "게임화면 씬 구현" &amp; "(김가연)" &amp; " " &amp; IF(M60="","",TEXT(M60,"M/D-")) &amp; IF(N60="","",TEXT(N60,"M/D")) &amp; " "</f>
        <v xml:space="preserve">100.00% 게임화면 씬 구현(김가연) 3/16-3/16 </v>
      </c>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row>
    <row r="61" spans="1:161" outlineLevel="5">
      <c r="A61" s="116"/>
      <c r="B61" s="116"/>
      <c r="C61" s="116">
        <v>6</v>
      </c>
      <c r="D61" s="232" t="s">
        <v>1256</v>
      </c>
      <c r="E61" s="233"/>
      <c r="F61" s="233"/>
      <c r="G61" s="233"/>
      <c r="H61" s="233"/>
      <c r="I61" s="246"/>
      <c r="J61" s="233" t="s">
        <v>1226</v>
      </c>
      <c r="K61" s="233"/>
      <c r="L61" s="233" t="s">
        <v>1227</v>
      </c>
      <c r="M61" s="234">
        <v>43541</v>
      </c>
      <c r="N61" s="234">
        <v>43541</v>
      </c>
      <c r="O61" s="235"/>
      <c r="P61" s="236">
        <v>1</v>
      </c>
      <c r="Q61" s="236">
        <v>1</v>
      </c>
      <c r="R61" s="237">
        <v>1</v>
      </c>
      <c r="S61" s="237">
        <v>1</v>
      </c>
      <c r="T61" s="234"/>
      <c r="U61" s="234"/>
      <c r="V61" s="238"/>
      <c r="W61" s="239">
        <v>0</v>
      </c>
      <c r="X61" s="240">
        <v>1</v>
      </c>
      <c r="Y61" s="241" t="s">
        <v>1129</v>
      </c>
      <c r="Z61" s="242"/>
      <c r="AA61" s="243">
        <v>1</v>
      </c>
      <c r="AB61" s="244">
        <v>1</v>
      </c>
      <c r="AC61" s="123"/>
      <c r="AD61" s="4"/>
      <c r="AE61" s="4"/>
      <c r="AF61" s="4"/>
      <c r="AG61" s="4" t="str">
        <f>" " &amp; TEXT(AB61,"#0.00%") &amp; " " &amp; "속도 및 모드 선택" &amp; "(김가연)" &amp; " " &amp; IF(M61="","",TEXT(M61,"M/D-")) &amp; IF(N61="","",TEXT(N61,"M/D")) &amp; " "</f>
        <v xml:space="preserve"> 100.00% 속도 및 모드 선택(김가연) 3/17-3/17 </v>
      </c>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row>
    <row r="62" spans="1:161" outlineLevel="5">
      <c r="A62" s="116"/>
      <c r="B62" s="116"/>
      <c r="C62" s="116">
        <v>6</v>
      </c>
      <c r="D62" s="232" t="s">
        <v>1257</v>
      </c>
      <c r="E62" s="233"/>
      <c r="F62" s="233"/>
      <c r="G62" s="233"/>
      <c r="H62" s="233"/>
      <c r="I62" s="246"/>
      <c r="J62" s="233" t="s">
        <v>1228</v>
      </c>
      <c r="K62" s="233"/>
      <c r="L62" s="233"/>
      <c r="M62" s="234">
        <v>43543</v>
      </c>
      <c r="N62" s="234">
        <v>43546</v>
      </c>
      <c r="O62" s="235"/>
      <c r="P62" s="236">
        <v>4</v>
      </c>
      <c r="Q62" s="236">
        <v>4</v>
      </c>
      <c r="R62" s="237">
        <v>4</v>
      </c>
      <c r="S62" s="237">
        <v>4</v>
      </c>
      <c r="T62" s="234"/>
      <c r="U62" s="234"/>
      <c r="V62" s="238"/>
      <c r="W62" s="239">
        <v>0</v>
      </c>
      <c r="X62" s="240">
        <v>1</v>
      </c>
      <c r="Y62" s="241" t="s">
        <v>1225</v>
      </c>
      <c r="Z62" s="242"/>
      <c r="AA62" s="243">
        <v>1</v>
      </c>
      <c r="AB62" s="244">
        <v>0</v>
      </c>
      <c r="AC62" s="123"/>
      <c r="AD62" s="4"/>
      <c r="AE62" s="4"/>
      <c r="AF62" s="4"/>
      <c r="AG62" s="4" t="str">
        <f>"  " &amp; TEXT(AB62,"#0.00%") &amp; " " &amp; "12곡 노트 생성" &amp; "(김도형, 김가연)" &amp; " " &amp; IF(M62="","",TEXT(M62,"M/D-")) &amp; IF(N62="","",TEXT(N62,"M/D")) &amp; " "</f>
        <v xml:space="preserve">  0.00% 12곡 노트 생성(김도형, 김가연) 3/19-3/22 </v>
      </c>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row>
    <row r="63" spans="1:161" outlineLevel="5">
      <c r="A63" s="116"/>
      <c r="B63" s="116"/>
      <c r="C63" s="116">
        <v>6</v>
      </c>
      <c r="D63" s="232" t="s">
        <v>1258</v>
      </c>
      <c r="E63" s="233"/>
      <c r="F63" s="233"/>
      <c r="G63" s="233"/>
      <c r="H63" s="233"/>
      <c r="I63" s="246"/>
      <c r="J63" s="233" t="s">
        <v>1229</v>
      </c>
      <c r="K63" s="233"/>
      <c r="L63" s="233" t="s">
        <v>1230</v>
      </c>
      <c r="M63" s="234">
        <v>43541</v>
      </c>
      <c r="N63" s="234">
        <v>43541</v>
      </c>
      <c r="O63" s="235"/>
      <c r="P63" s="236">
        <v>1</v>
      </c>
      <c r="Q63" s="236">
        <v>1</v>
      </c>
      <c r="R63" s="237">
        <v>1</v>
      </c>
      <c r="S63" s="237">
        <v>1</v>
      </c>
      <c r="T63" s="234"/>
      <c r="U63" s="234"/>
      <c r="V63" s="238"/>
      <c r="W63" s="239">
        <v>0</v>
      </c>
      <c r="X63" s="240">
        <v>1</v>
      </c>
      <c r="Y63" s="241" t="s">
        <v>1129</v>
      </c>
      <c r="Z63" s="242"/>
      <c r="AA63" s="243">
        <v>1</v>
      </c>
      <c r="AB63" s="244">
        <v>1</v>
      </c>
      <c r="AC63" s="123"/>
      <c r="AD63" s="4"/>
      <c r="AE63" s="4"/>
      <c r="AF63" s="4"/>
      <c r="AG63" s="4" t="str">
        <f>" " &amp; TEXT(AB63,"#0.00%") &amp; " " &amp; "게임 시작 로딩 기능 구현" &amp; "(김가연)" &amp; " " &amp; IF(M63="","",TEXT(M63,"M/D-")) &amp; IF(N63="","",TEXT(N63,"M/D")) &amp; " "</f>
        <v xml:space="preserve"> 100.00% 게임 시작 로딩 기능 구현(김가연) 3/17-3/17 </v>
      </c>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row>
    <row r="64" spans="1:161" outlineLevel="5">
      <c r="A64" s="116"/>
      <c r="B64" s="116"/>
      <c r="C64" s="116">
        <v>6</v>
      </c>
      <c r="D64" s="232" t="s">
        <v>1259</v>
      </c>
      <c r="E64" s="233"/>
      <c r="F64" s="233"/>
      <c r="G64" s="233"/>
      <c r="H64" s="233"/>
      <c r="I64" s="246"/>
      <c r="J64" s="233" t="s">
        <v>1215</v>
      </c>
      <c r="K64" s="233"/>
      <c r="L64" s="233"/>
      <c r="M64" s="234">
        <v>43544</v>
      </c>
      <c r="N64" s="234">
        <v>43546</v>
      </c>
      <c r="O64" s="235"/>
      <c r="P64" s="236">
        <v>3</v>
      </c>
      <c r="Q64" s="236">
        <v>3</v>
      </c>
      <c r="R64" s="237">
        <v>3</v>
      </c>
      <c r="S64" s="237">
        <v>3</v>
      </c>
      <c r="T64" s="234"/>
      <c r="U64" s="234"/>
      <c r="V64" s="238"/>
      <c r="W64" s="239">
        <v>0</v>
      </c>
      <c r="X64" s="240">
        <v>1</v>
      </c>
      <c r="Y64" s="241" t="s">
        <v>1170</v>
      </c>
      <c r="Z64" s="242"/>
      <c r="AA64" s="243">
        <v>1</v>
      </c>
      <c r="AB64" s="244">
        <v>0</v>
      </c>
      <c r="AC64" s="123"/>
      <c r="AD64" s="4"/>
      <c r="AE64" s="4"/>
      <c r="AF64" s="4"/>
      <c r="AG64" s="4" t="str">
        <f>"   " &amp; TEXT(AB64,"#0.00%") &amp; " " &amp; "화면에 노트 구현" &amp; "(김가연, 김도형)" &amp; " " &amp; IF(M64="","",TEXT(M64,"M/D-")) &amp; IF(N64="","",TEXT(N64,"M/D")) &amp; " "</f>
        <v xml:space="preserve">   0.00% 화면에 노트 구현(김가연, 김도형) 3/20-3/22 </v>
      </c>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row>
    <row r="65" spans="1:161" outlineLevel="5">
      <c r="A65" s="116"/>
      <c r="B65" s="116"/>
      <c r="C65" s="116">
        <v>6</v>
      </c>
      <c r="D65" s="232" t="s">
        <v>1260</v>
      </c>
      <c r="E65" s="233"/>
      <c r="F65" s="233"/>
      <c r="G65" s="233"/>
      <c r="H65" s="233"/>
      <c r="I65" s="246"/>
      <c r="J65" s="233" t="s">
        <v>1216</v>
      </c>
      <c r="K65" s="233"/>
      <c r="L65" s="233" t="s">
        <v>1232</v>
      </c>
      <c r="M65" s="234">
        <v>43544</v>
      </c>
      <c r="N65" s="234">
        <v>43544</v>
      </c>
      <c r="O65" s="235"/>
      <c r="P65" s="236">
        <v>1</v>
      </c>
      <c r="Q65" s="236">
        <v>1</v>
      </c>
      <c r="R65" s="237">
        <v>1</v>
      </c>
      <c r="S65" s="237">
        <v>1</v>
      </c>
      <c r="T65" s="234"/>
      <c r="U65" s="234"/>
      <c r="V65" s="238"/>
      <c r="W65" s="239">
        <v>0</v>
      </c>
      <c r="X65" s="240">
        <v>1</v>
      </c>
      <c r="Y65" s="241" t="s">
        <v>1129</v>
      </c>
      <c r="Z65" s="242"/>
      <c r="AA65" s="243">
        <v>1</v>
      </c>
      <c r="AB65" s="244">
        <v>1</v>
      </c>
      <c r="AC65" s="123"/>
      <c r="AD65" s="4"/>
      <c r="AE65" s="4"/>
      <c r="AF65" s="4"/>
      <c r="AG65" s="4" t="str">
        <f>"    " &amp; TEXT(AB65,"#0.00%") &amp; " " &amp; "노트 판정 스크립트 구현" &amp; "(김가연)" &amp; " " &amp; IF(M65="","",TEXT(M65,"M/D-")) &amp; IF(N65="","",TEXT(N65,"M/D")) &amp; " "</f>
        <v xml:space="preserve">    100.00% 노트 판정 스크립트 구현(김가연) 3/20-3/20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row>
    <row r="66" spans="1:161" outlineLevel="5">
      <c r="A66" s="116"/>
      <c r="B66" s="116"/>
      <c r="C66" s="116">
        <v>6</v>
      </c>
      <c r="D66" s="232" t="s">
        <v>1261</v>
      </c>
      <c r="E66" s="233"/>
      <c r="F66" s="233"/>
      <c r="G66" s="233"/>
      <c r="H66" s="233"/>
      <c r="I66" s="246"/>
      <c r="J66" s="233" t="s">
        <v>1217</v>
      </c>
      <c r="K66" s="233"/>
      <c r="L66" s="233"/>
      <c r="M66" s="234">
        <v>43545</v>
      </c>
      <c r="N66" s="234">
        <v>43545</v>
      </c>
      <c r="O66" s="235"/>
      <c r="P66" s="236">
        <v>1</v>
      </c>
      <c r="Q66" s="236">
        <v>1</v>
      </c>
      <c r="R66" s="237">
        <v>1</v>
      </c>
      <c r="S66" s="237">
        <v>1</v>
      </c>
      <c r="T66" s="234"/>
      <c r="U66" s="234"/>
      <c r="V66" s="238"/>
      <c r="W66" s="239">
        <v>0</v>
      </c>
      <c r="X66" s="240">
        <v>1</v>
      </c>
      <c r="Y66" s="241" t="s">
        <v>1129</v>
      </c>
      <c r="Z66" s="242"/>
      <c r="AA66" s="243">
        <v>1</v>
      </c>
      <c r="AB66" s="244">
        <v>1</v>
      </c>
      <c r="AC66" s="123"/>
      <c r="AD66" s="4"/>
      <c r="AE66" s="4"/>
      <c r="AF66" s="4"/>
      <c r="AG66" s="4" t="str">
        <f>"     " &amp; TEXT(AB66,"#0.00%") &amp; " " &amp; "노트 타격 효과 구현" &amp; "(김가연)" &amp; " " &amp; IF(M66="","",TEXT(M66,"M/D-")) &amp; IF(N66="","",TEXT(N66,"M/D")) &amp; " "</f>
        <v xml:space="preserve">     100.00% 노트 타격 효과 구현(김가연) 3/21-3/21 </v>
      </c>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row>
    <row r="67" spans="1:161" outlineLevel="5">
      <c r="A67" s="116"/>
      <c r="B67" s="116"/>
      <c r="C67" s="116">
        <v>6</v>
      </c>
      <c r="D67" s="232" t="s">
        <v>1262</v>
      </c>
      <c r="E67" s="233"/>
      <c r="F67" s="233"/>
      <c r="G67" s="233"/>
      <c r="H67" s="233"/>
      <c r="I67" s="246"/>
      <c r="J67" s="246" t="s">
        <v>1233</v>
      </c>
      <c r="K67" s="233"/>
      <c r="L67" s="233" t="s">
        <v>1234</v>
      </c>
      <c r="M67" s="234">
        <v>43547</v>
      </c>
      <c r="N67" s="234">
        <v>43548</v>
      </c>
      <c r="O67" s="235"/>
      <c r="P67" s="236">
        <v>2</v>
      </c>
      <c r="Q67" s="236">
        <v>2</v>
      </c>
      <c r="R67" s="237">
        <v>2</v>
      </c>
      <c r="S67" s="237">
        <v>2</v>
      </c>
      <c r="T67" s="234"/>
      <c r="U67" s="234"/>
      <c r="V67" s="238"/>
      <c r="W67" s="239">
        <v>0</v>
      </c>
      <c r="X67" s="240">
        <v>1</v>
      </c>
      <c r="Y67" s="241" t="s">
        <v>1129</v>
      </c>
      <c r="Z67" s="242"/>
      <c r="AA67" s="243">
        <v>1</v>
      </c>
      <c r="AB67" s="244">
        <v>0</v>
      </c>
      <c r="AC67" s="123"/>
      <c r="AD67" s="4"/>
      <c r="AE67" s="4"/>
      <c r="AF67" s="4"/>
      <c r="AG67" s="4" t="str">
        <f>"      " &amp; TEXT(AB67,"#0.00%") &amp; " " &amp; "콤보에 따른 화면 표시" &amp; "(김가연)" &amp; " " &amp; IF(M67="","",TEXT(M67,"M/D-")) &amp; IF(N67="","",TEXT(N67,"M/D")) &amp; " "</f>
        <v xml:space="preserve">      0.00% 콤보에 따른 화면 표시(김가연) 3/23-3/24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row>
    <row r="68" spans="1:161" outlineLevel="5">
      <c r="A68" s="116"/>
      <c r="B68" s="116"/>
      <c r="C68" s="116">
        <v>6</v>
      </c>
      <c r="D68" s="232" t="s">
        <v>1263</v>
      </c>
      <c r="E68" s="233"/>
      <c r="F68" s="233"/>
      <c r="G68" s="233"/>
      <c r="H68" s="233"/>
      <c r="I68" s="246"/>
      <c r="J68" s="233" t="s">
        <v>1235</v>
      </c>
      <c r="K68" s="233"/>
      <c r="L68" s="233" t="s">
        <v>1236</v>
      </c>
      <c r="M68" s="234">
        <v>43547</v>
      </c>
      <c r="N68" s="234">
        <v>43548</v>
      </c>
      <c r="O68" s="235"/>
      <c r="P68" s="236">
        <v>2</v>
      </c>
      <c r="Q68" s="236">
        <v>2</v>
      </c>
      <c r="R68" s="237">
        <v>2</v>
      </c>
      <c r="S68" s="237">
        <v>2</v>
      </c>
      <c r="T68" s="234"/>
      <c r="U68" s="234"/>
      <c r="V68" s="238"/>
      <c r="W68" s="239">
        <v>0</v>
      </c>
      <c r="X68" s="240">
        <v>1</v>
      </c>
      <c r="Y68" s="241" t="s">
        <v>1129</v>
      </c>
      <c r="Z68" s="242"/>
      <c r="AA68" s="243">
        <v>1</v>
      </c>
      <c r="AB68" s="244">
        <v>0</v>
      </c>
      <c r="AC68" s="123"/>
      <c r="AD68" s="4"/>
      <c r="AE68" s="4"/>
      <c r="AF68" s="4"/>
      <c r="AG68" s="4" t="str">
        <f>"      " &amp; TEXT(AB68,"#0.00%") &amp; " " &amp; "콤보에 따른 효과 구현" &amp; "(김가연)" &amp; " " &amp; IF(M68="","",TEXT(M68,"M/D-")) &amp; IF(N68="","",TEXT(N68,"M/D")) &amp; " "</f>
        <v xml:space="preserve">      0.00% 콤보에 따른 효과 구현(김가연) 3/23-3/24 </v>
      </c>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row>
    <row r="69" spans="1:161" outlineLevel="5">
      <c r="A69" s="116"/>
      <c r="B69" s="116"/>
      <c r="C69" s="116">
        <v>6</v>
      </c>
      <c r="D69" s="232" t="s">
        <v>1264</v>
      </c>
      <c r="E69" s="233"/>
      <c r="F69" s="233"/>
      <c r="G69" s="233"/>
      <c r="H69" s="233"/>
      <c r="I69" s="246"/>
      <c r="J69" s="233" t="s">
        <v>1180</v>
      </c>
      <c r="K69" s="233"/>
      <c r="L69" s="246" t="s">
        <v>1238</v>
      </c>
      <c r="M69" s="234">
        <v>43547</v>
      </c>
      <c r="N69" s="234">
        <v>43547</v>
      </c>
      <c r="O69" s="235"/>
      <c r="P69" s="236">
        <v>1</v>
      </c>
      <c r="Q69" s="236">
        <v>1</v>
      </c>
      <c r="R69" s="237">
        <v>1</v>
      </c>
      <c r="S69" s="237">
        <v>1</v>
      </c>
      <c r="T69" s="234"/>
      <c r="U69" s="234"/>
      <c r="V69" s="238"/>
      <c r="W69" s="239">
        <v>0</v>
      </c>
      <c r="X69" s="240">
        <v>1</v>
      </c>
      <c r="Y69" s="241" t="s">
        <v>1129</v>
      </c>
      <c r="Z69" s="242"/>
      <c r="AA69" s="243">
        <v>1</v>
      </c>
      <c r="AB69" s="244">
        <v>1</v>
      </c>
      <c r="AC69" s="123"/>
      <c r="AD69" s="4"/>
      <c r="AE69" s="4"/>
      <c r="AF69" s="4"/>
      <c r="AG69" s="4"/>
      <c r="AH69" s="4" t="str">
        <f>"" &amp; TEXT(AB69,"#0.00%") &amp; " " &amp; "화면 터치 시의 씬 구현" &amp; "(김가연)" &amp; " " &amp; IF(M69="","",TEXT(M69,"M/D-")) &amp; IF(N69="","",TEXT(N69,"M/D")) &amp; " "</f>
        <v xml:space="preserve">100.00% 화면 터치 시의 씬 구현(김가연) 3/23-3/23 </v>
      </c>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row>
    <row r="70" spans="1:161" outlineLevel="5">
      <c r="A70" s="116"/>
      <c r="B70" s="116"/>
      <c r="C70" s="116">
        <v>6</v>
      </c>
      <c r="D70" s="232" t="s">
        <v>1265</v>
      </c>
      <c r="E70" s="233"/>
      <c r="F70" s="233"/>
      <c r="G70" s="233"/>
      <c r="H70" s="233"/>
      <c r="I70" s="246"/>
      <c r="J70" s="233" t="s">
        <v>1242</v>
      </c>
      <c r="K70" s="233"/>
      <c r="L70" s="233"/>
      <c r="M70" s="234">
        <v>43542</v>
      </c>
      <c r="N70" s="234">
        <v>43546</v>
      </c>
      <c r="O70" s="235"/>
      <c r="P70" s="236">
        <v>5</v>
      </c>
      <c r="Q70" s="236">
        <v>5</v>
      </c>
      <c r="R70" s="237">
        <v>5</v>
      </c>
      <c r="S70" s="237">
        <v>5</v>
      </c>
      <c r="T70" s="234"/>
      <c r="U70" s="234"/>
      <c r="V70" s="238"/>
      <c r="W70" s="239">
        <v>0</v>
      </c>
      <c r="X70" s="240">
        <v>1</v>
      </c>
      <c r="Y70" s="241" t="s">
        <v>1123</v>
      </c>
      <c r="Z70" s="242"/>
      <c r="AA70" s="243">
        <v>1</v>
      </c>
      <c r="AB70" s="244">
        <v>0</v>
      </c>
      <c r="AC70" s="123"/>
      <c r="AD70" s="4"/>
      <c r="AE70" s="4"/>
      <c r="AF70" s="4"/>
      <c r="AG70" s="4" t="str">
        <f>" " &amp; TEXT(AB70,"#0.00%") &amp; " " &amp; "노트 자동 생성 검토" &amp; "(김도형)" &amp; " " &amp; IF(M70="","",TEXT(M70,"M/D-")) &amp; IF(N70="","",TEXT(N70,"M/D")) &amp; " "</f>
        <v xml:space="preserve"> 0.00% 노트 자동 생성 검토(김도형) 3/18-3/22 </v>
      </c>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row>
    <row r="71" spans="1:161" outlineLevel="5">
      <c r="A71" s="116"/>
      <c r="B71" s="116"/>
      <c r="C71" s="116">
        <v>6</v>
      </c>
      <c r="D71" s="232" t="s">
        <v>1266</v>
      </c>
      <c r="E71" s="233"/>
      <c r="F71" s="233"/>
      <c r="G71" s="233"/>
      <c r="H71" s="233"/>
      <c r="I71" s="233"/>
      <c r="J71" s="246" t="s">
        <v>1239</v>
      </c>
      <c r="K71" s="233"/>
      <c r="L71" s="233"/>
      <c r="M71" s="234">
        <v>43547</v>
      </c>
      <c r="N71" s="234">
        <v>43553</v>
      </c>
      <c r="O71" s="235"/>
      <c r="P71" s="236">
        <v>7</v>
      </c>
      <c r="Q71" s="236">
        <v>7</v>
      </c>
      <c r="R71" s="237">
        <v>7</v>
      </c>
      <c r="S71" s="237">
        <v>7</v>
      </c>
      <c r="T71" s="234"/>
      <c r="U71" s="234"/>
      <c r="V71" s="238"/>
      <c r="W71" s="239">
        <v>0</v>
      </c>
      <c r="X71" s="240">
        <v>1</v>
      </c>
      <c r="Y71" s="241" t="s">
        <v>1123</v>
      </c>
      <c r="Z71" s="242"/>
      <c r="AA71" s="243">
        <v>1</v>
      </c>
      <c r="AB71" s="244">
        <v>0</v>
      </c>
      <c r="AC71" s="123"/>
      <c r="AD71" s="4"/>
      <c r="AE71" s="4"/>
      <c r="AF71" s="4"/>
      <c r="AG71" s="4" t="str">
        <f>"      " &amp; TEXT(AB71,"#0.00%") &amp; " " &amp; "FFT로 오디오 분석" &amp; "(김도형)" &amp; " " &amp; IF(M71="","",TEXT(M71,"M/D-")) &amp; IF(N71="","",TEXT(N71,"M/D")) &amp; " "</f>
        <v xml:space="preserve">      0.00% FFT로 오디오 분석(김도형) 3/23-3/29 </v>
      </c>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row>
    <row r="72" spans="1:161" outlineLevel="5">
      <c r="A72" s="116"/>
      <c r="B72" s="116"/>
      <c r="C72" s="116">
        <v>6</v>
      </c>
      <c r="D72" s="232" t="s">
        <v>1267</v>
      </c>
      <c r="E72" s="233"/>
      <c r="F72" s="233"/>
      <c r="G72" s="233"/>
      <c r="H72" s="233"/>
      <c r="I72" s="233"/>
      <c r="J72" s="246" t="s">
        <v>1240</v>
      </c>
      <c r="K72" s="233"/>
      <c r="L72" s="233"/>
      <c r="M72" s="234">
        <v>43554</v>
      </c>
      <c r="N72" s="234">
        <v>43558</v>
      </c>
      <c r="O72" s="235"/>
      <c r="P72" s="236">
        <v>5</v>
      </c>
      <c r="Q72" s="236">
        <v>1</v>
      </c>
      <c r="R72" s="237">
        <v>5</v>
      </c>
      <c r="S72" s="237">
        <v>1</v>
      </c>
      <c r="T72" s="234"/>
      <c r="U72" s="234"/>
      <c r="V72" s="238"/>
      <c r="W72" s="239">
        <v>0</v>
      </c>
      <c r="X72" s="240">
        <v>1</v>
      </c>
      <c r="Y72" s="241" t="s">
        <v>1123</v>
      </c>
      <c r="Z72" s="242"/>
      <c r="AA72" s="243">
        <v>0.2</v>
      </c>
      <c r="AB72" s="244">
        <v>0</v>
      </c>
      <c r="AC72" s="123"/>
      <c r="AD72" s="4"/>
      <c r="AE72" s="4"/>
      <c r="AF72" s="4"/>
      <c r="AG72" s="4"/>
      <c r="AH72" s="4" t="str">
        <f>"      " &amp; TEXT(AB72,"#0.00%") &amp; " " &amp; "분석자료에서 최고 Hz추출" &amp; "(김도형)" &amp; " " &amp; IF(M72="","",TEXT(M72,"M/D-")) &amp; IF(N72="","",TEXT(N72,"M/D")) &amp; " "</f>
        <v xml:space="preserve">      0.00% 분석자료에서 최고 Hz추출(김도형) 3/30-4/3 </v>
      </c>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row>
    <row r="73" spans="1:161" outlineLevel="5">
      <c r="A73" s="116"/>
      <c r="B73" s="116"/>
      <c r="C73" s="116">
        <v>6</v>
      </c>
      <c r="D73" s="232" t="s">
        <v>1268</v>
      </c>
      <c r="E73" s="233"/>
      <c r="F73" s="233"/>
      <c r="G73" s="233"/>
      <c r="H73" s="233"/>
      <c r="I73" s="233"/>
      <c r="J73" s="246" t="s">
        <v>1241</v>
      </c>
      <c r="K73" s="233"/>
      <c r="L73" s="233"/>
      <c r="M73" s="234">
        <v>43558</v>
      </c>
      <c r="N73" s="234">
        <v>43562</v>
      </c>
      <c r="O73" s="235"/>
      <c r="P73" s="236">
        <v>5</v>
      </c>
      <c r="Q73" s="236">
        <v>0</v>
      </c>
      <c r="R73" s="237">
        <v>5</v>
      </c>
      <c r="S73" s="237">
        <v>0</v>
      </c>
      <c r="T73" s="234"/>
      <c r="U73" s="234"/>
      <c r="V73" s="238"/>
      <c r="W73" s="239">
        <v>0</v>
      </c>
      <c r="X73" s="240">
        <v>1</v>
      </c>
      <c r="Y73" s="241" t="s">
        <v>1123</v>
      </c>
      <c r="Z73" s="242"/>
      <c r="AA73" s="243">
        <v>0</v>
      </c>
      <c r="AB73" s="244">
        <v>0</v>
      </c>
      <c r="AC73" s="123"/>
      <c r="AD73" s="4"/>
      <c r="AE73" s="4"/>
      <c r="AF73" s="4"/>
      <c r="AG73" s="4"/>
      <c r="AH73" s="4"/>
      <c r="AI73" s="4" t="str">
        <f>"   " &amp; TEXT(AB73,"#0.00%") &amp; " " &amp; "노트생성" &amp; "(김도형)" &amp; " " &amp; IF(M73="","",TEXT(M73,"M/D-")) &amp; IF(N73="","",TEXT(N73,"M/D")) &amp; " "</f>
        <v xml:space="preserve">   0.00% 노트생성(김도형) 4/3-4/7 </v>
      </c>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row>
    <row r="74" spans="1:161" outlineLevel="5">
      <c r="A74" s="116"/>
      <c r="B74" s="116"/>
      <c r="C74" s="116">
        <v>6</v>
      </c>
      <c r="D74" s="232" t="s">
        <v>1269</v>
      </c>
      <c r="E74" s="233"/>
      <c r="F74" s="233"/>
      <c r="G74" s="233"/>
      <c r="H74" s="233"/>
      <c r="I74" s="233"/>
      <c r="J74" s="246" t="s">
        <v>1243</v>
      </c>
      <c r="K74" s="233"/>
      <c r="L74" s="233"/>
      <c r="M74" s="234">
        <v>43549</v>
      </c>
      <c r="N74" s="234">
        <v>43555</v>
      </c>
      <c r="O74" s="235"/>
      <c r="P74" s="236">
        <v>7</v>
      </c>
      <c r="Q74" s="236">
        <v>6</v>
      </c>
      <c r="R74" s="237">
        <v>7</v>
      </c>
      <c r="S74" s="237">
        <v>6</v>
      </c>
      <c r="T74" s="234"/>
      <c r="U74" s="234"/>
      <c r="V74" s="238"/>
      <c r="W74" s="239">
        <v>0</v>
      </c>
      <c r="X74" s="240">
        <v>1</v>
      </c>
      <c r="Y74" s="241" t="s">
        <v>1244</v>
      </c>
      <c r="Z74" s="242"/>
      <c r="AA74" s="243">
        <v>0.8571428571428571</v>
      </c>
      <c r="AB74" s="244">
        <v>0</v>
      </c>
      <c r="AC74" s="123"/>
      <c r="AD74" s="4"/>
      <c r="AE74" s="4"/>
      <c r="AF74" s="4"/>
      <c r="AG74" s="4"/>
      <c r="AH74" s="4" t="str">
        <f>" " &amp; TEXT(AB74,"#0.00%") &amp; " " &amp; "버그 수정 및 검토" &amp; "(김가연, 김가연)" &amp; " " &amp; IF(M74="","",TEXT(M74,"M/D-")) &amp; IF(N74="","",TEXT(N74,"M/D")) &amp; " "</f>
        <v xml:space="preserve"> 0.00% 버그 수정 및 검토(김가연, 김가연) 3/25-3/31 </v>
      </c>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row>
    <row r="75" spans="1:161" outlineLevel="4">
      <c r="A75" s="116"/>
      <c r="B75" s="116" t="s">
        <v>1071</v>
      </c>
      <c r="C75" s="116">
        <v>5</v>
      </c>
      <c r="D75" s="232" t="s">
        <v>1027</v>
      </c>
      <c r="E75" s="233"/>
      <c r="F75" s="233"/>
      <c r="G75" s="233"/>
      <c r="H75" s="233"/>
      <c r="I75" s="246" t="s">
        <v>1176</v>
      </c>
      <c r="J75" s="233"/>
      <c r="K75" s="233"/>
      <c r="L75" s="233"/>
      <c r="M75" s="234">
        <v>43556</v>
      </c>
      <c r="N75" s="234">
        <v>43580</v>
      </c>
      <c r="O75" s="235"/>
      <c r="P75" s="236">
        <v>31</v>
      </c>
      <c r="Q75" s="236">
        <v>0</v>
      </c>
      <c r="R75" s="237">
        <v>25</v>
      </c>
      <c r="S75" s="237">
        <v>0</v>
      </c>
      <c r="T75" s="234"/>
      <c r="U75" s="234"/>
      <c r="V75" s="238">
        <v>0</v>
      </c>
      <c r="W75" s="239">
        <v>0</v>
      </c>
      <c r="X75" s="240"/>
      <c r="Y75" s="241"/>
      <c r="Z75" s="242"/>
      <c r="AA75" s="243">
        <v>0</v>
      </c>
      <c r="AB75" s="244">
        <v>0.12903225806451613</v>
      </c>
      <c r="AC75" s="123"/>
      <c r="AD75" s="4"/>
      <c r="AE75" s="4"/>
      <c r="AF75" s="4"/>
      <c r="AG75" s="4"/>
      <c r="AH75" s="4"/>
      <c r="AI75" s="4" t="str">
        <f>"    " &amp; TEXT(AB75,"#0.00%") &amp; " " &amp; "게임모드" &amp; " " &amp; IF(M75="","",TEXT(M75,"M/D-")) &amp; IF(N75="","",TEXT(N75,"M/D")) &amp; " "</f>
        <v xml:space="preserve">    12.90% 게임모드 4/1-4/25 </v>
      </c>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row>
    <row r="76" spans="1:161" outlineLevel="5">
      <c r="A76" s="116"/>
      <c r="B76" s="116"/>
      <c r="C76" s="116">
        <v>6</v>
      </c>
      <c r="D76" s="232" t="s">
        <v>1270</v>
      </c>
      <c r="E76" s="233"/>
      <c r="F76" s="233"/>
      <c r="G76" s="233"/>
      <c r="H76" s="233"/>
      <c r="I76" s="246"/>
      <c r="J76" s="233" t="s">
        <v>1252</v>
      </c>
      <c r="K76" s="233"/>
      <c r="L76" s="233" t="s">
        <v>1276</v>
      </c>
      <c r="M76" s="234">
        <v>43556</v>
      </c>
      <c r="N76" s="234">
        <v>43556</v>
      </c>
      <c r="O76" s="235"/>
      <c r="P76" s="236">
        <v>1</v>
      </c>
      <c r="Q76" s="236">
        <v>0</v>
      </c>
      <c r="R76" s="237">
        <v>1</v>
      </c>
      <c r="S76" s="237">
        <v>0</v>
      </c>
      <c r="T76" s="234"/>
      <c r="U76" s="234"/>
      <c r="V76" s="238"/>
      <c r="W76" s="239">
        <v>0</v>
      </c>
      <c r="X76" s="240">
        <v>1</v>
      </c>
      <c r="Y76" s="241" t="s">
        <v>1129</v>
      </c>
      <c r="Z76" s="242"/>
      <c r="AA76" s="243">
        <v>0</v>
      </c>
      <c r="AB76" s="244">
        <v>1</v>
      </c>
      <c r="AC76" s="123"/>
      <c r="AD76" s="4"/>
      <c r="AE76" s="4"/>
      <c r="AF76" s="4"/>
      <c r="AG76" s="4"/>
      <c r="AH76" s="4"/>
      <c r="AI76" s="4" t="str">
        <f>"  " &amp; TEXT(AB76,"#0.00%") &amp; " " &amp; "게임선택 화면 씬" &amp; "(김가연)" &amp; " " &amp; IF(M76="","",TEXT(M76,"M/D-")) &amp; IF(N76="","",TEXT(N76,"M/D")) &amp; " "</f>
        <v xml:space="preserve">  100.00% 게임선택 화면 씬(김가연) 4/1-4/1 </v>
      </c>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row>
    <row r="77" spans="1:161" outlineLevel="5">
      <c r="A77" s="116"/>
      <c r="B77" s="116"/>
      <c r="C77" s="116">
        <v>6</v>
      </c>
      <c r="D77" s="232" t="s">
        <v>1271</v>
      </c>
      <c r="E77" s="233"/>
      <c r="F77" s="233"/>
      <c r="G77" s="233"/>
      <c r="H77" s="233"/>
      <c r="I77" s="246"/>
      <c r="J77" s="233" t="s">
        <v>1253</v>
      </c>
      <c r="K77" s="233"/>
      <c r="L77" s="233" t="s">
        <v>1272</v>
      </c>
      <c r="M77" s="234">
        <v>43557</v>
      </c>
      <c r="N77" s="234">
        <v>43557</v>
      </c>
      <c r="O77" s="235"/>
      <c r="P77" s="236">
        <v>1</v>
      </c>
      <c r="Q77" s="236">
        <v>0</v>
      </c>
      <c r="R77" s="237">
        <v>1</v>
      </c>
      <c r="S77" s="237">
        <v>0</v>
      </c>
      <c r="T77" s="234"/>
      <c r="U77" s="234"/>
      <c r="V77" s="238"/>
      <c r="W77" s="239">
        <v>0</v>
      </c>
      <c r="X77" s="240">
        <v>1</v>
      </c>
      <c r="Y77" s="241" t="s">
        <v>1129</v>
      </c>
      <c r="Z77" s="242"/>
      <c r="AA77" s="243">
        <v>0</v>
      </c>
      <c r="AB77" s="244">
        <v>0</v>
      </c>
      <c r="AC77" s="123"/>
      <c r="AD77" s="4"/>
      <c r="AE77" s="4"/>
      <c r="AF77" s="4"/>
      <c r="AG77" s="4"/>
      <c r="AH77" s="4"/>
      <c r="AI77" s="4" t="str">
        <f>"  " &amp; TEXT(AB77,"#0.00%") &amp; " " &amp; "게임 설명 화면 구현" &amp; "(김가연)" &amp; " " &amp; IF(M77="","",TEXT(M77,"M/D-")) &amp; IF(N77="","",TEXT(N77,"M/D")) &amp; " "</f>
        <v xml:space="preserve">  0.00% 게임 설명 화면 구현(김가연) 4/2-4/2 </v>
      </c>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row>
    <row r="78" spans="1:161" outlineLevel="5">
      <c r="A78" s="116"/>
      <c r="B78" s="116"/>
      <c r="C78" s="116">
        <v>6</v>
      </c>
      <c r="D78" s="232" t="s">
        <v>1274</v>
      </c>
      <c r="E78" s="233"/>
      <c r="F78" s="233"/>
      <c r="G78" s="233"/>
      <c r="H78" s="233"/>
      <c r="I78" s="246"/>
      <c r="J78" s="246" t="s">
        <v>1229</v>
      </c>
      <c r="K78" s="233"/>
      <c r="L78" s="233" t="s">
        <v>1273</v>
      </c>
      <c r="M78" s="234">
        <v>43557</v>
      </c>
      <c r="N78" s="234">
        <v>43557</v>
      </c>
      <c r="O78" s="235"/>
      <c r="P78" s="236">
        <v>1</v>
      </c>
      <c r="Q78" s="236">
        <v>0</v>
      </c>
      <c r="R78" s="237">
        <v>1</v>
      </c>
      <c r="S78" s="237">
        <v>0</v>
      </c>
      <c r="T78" s="234"/>
      <c r="U78" s="234"/>
      <c r="V78" s="238"/>
      <c r="W78" s="239">
        <v>0</v>
      </c>
      <c r="X78" s="240">
        <v>1</v>
      </c>
      <c r="Y78" s="241" t="s">
        <v>1129</v>
      </c>
      <c r="Z78" s="242"/>
      <c r="AA78" s="243">
        <v>0</v>
      </c>
      <c r="AB78" s="244">
        <v>1</v>
      </c>
      <c r="AC78" s="123"/>
      <c r="AD78" s="4"/>
      <c r="AE78" s="4"/>
      <c r="AF78" s="4"/>
      <c r="AG78" s="4"/>
      <c r="AH78" s="4"/>
      <c r="AI78" s="4" t="str">
        <f>"   " &amp; TEXT(AB78,"#0.00%") &amp; " " &amp; "게임 시작 로딩 기능 구현" &amp; "(김가연)" &amp; " " &amp; IF(M78="","",TEXT(M78,"M/D-")) &amp; IF(N78="","",TEXT(N78,"M/D")) &amp; " "</f>
        <v xml:space="preserve">   100.00% 게임 시작 로딩 기능 구현(김가연) 4/2-4/2 </v>
      </c>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row>
    <row r="79" spans="1:161" outlineLevel="5">
      <c r="A79" s="116"/>
      <c r="B79" s="116"/>
      <c r="C79" s="116">
        <v>6</v>
      </c>
      <c r="D79" s="232" t="s">
        <v>1275</v>
      </c>
      <c r="E79" s="233"/>
      <c r="F79" s="233"/>
      <c r="G79" s="233"/>
      <c r="H79" s="233"/>
      <c r="I79" s="246"/>
      <c r="J79" s="233" t="s">
        <v>1277</v>
      </c>
      <c r="K79" s="233"/>
      <c r="L79" s="233"/>
      <c r="M79" s="234">
        <v>43558</v>
      </c>
      <c r="N79" s="234">
        <v>43560</v>
      </c>
      <c r="O79" s="235"/>
      <c r="P79" s="236">
        <v>3</v>
      </c>
      <c r="Q79" s="236">
        <v>0</v>
      </c>
      <c r="R79" s="237">
        <v>3</v>
      </c>
      <c r="S79" s="237">
        <v>0</v>
      </c>
      <c r="T79" s="234"/>
      <c r="U79" s="234"/>
      <c r="V79" s="238"/>
      <c r="W79" s="239">
        <v>0</v>
      </c>
      <c r="X79" s="240">
        <v>1</v>
      </c>
      <c r="Y79" s="241" t="s">
        <v>1129</v>
      </c>
      <c r="Z79" s="242"/>
      <c r="AA79" s="243">
        <v>0</v>
      </c>
      <c r="AB79" s="244">
        <v>0</v>
      </c>
      <c r="AC79" s="123"/>
      <c r="AD79" s="4"/>
      <c r="AE79" s="4"/>
      <c r="AF79" s="4"/>
      <c r="AG79" s="4"/>
      <c r="AH79" s="4"/>
      <c r="AI79" s="4" t="str">
        <f>"   " &amp; TEXT(AB79,"#0.00%") &amp; " " &amp; "커맨드 랜덤 생성 메소드" &amp; "(김가연)" &amp; " " &amp; IF(M79="","",TEXT(M79,"M/D-")) &amp; IF(N79="","",TEXT(N79,"M/D")) &amp; " "</f>
        <v xml:space="preserve">   0.00% 커맨드 랜덤 생성 메소드(김가연) 4/3-4/5 </v>
      </c>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row>
    <row r="80" spans="1:161" outlineLevel="5">
      <c r="A80" s="116"/>
      <c r="B80" s="116"/>
      <c r="C80" s="116">
        <v>6</v>
      </c>
      <c r="D80" s="232" t="s">
        <v>1286</v>
      </c>
      <c r="E80" s="233"/>
      <c r="F80" s="233"/>
      <c r="G80" s="233"/>
      <c r="H80" s="233"/>
      <c r="I80" s="246"/>
      <c r="J80" s="233" t="s">
        <v>1278</v>
      </c>
      <c r="K80" s="233"/>
      <c r="L80" s="233"/>
      <c r="M80" s="234">
        <v>43561</v>
      </c>
      <c r="N80" s="234">
        <v>43563</v>
      </c>
      <c r="O80" s="235"/>
      <c r="P80" s="236">
        <v>3</v>
      </c>
      <c r="Q80" s="236">
        <v>0</v>
      </c>
      <c r="R80" s="237">
        <v>3</v>
      </c>
      <c r="S80" s="237">
        <v>0</v>
      </c>
      <c r="T80" s="234"/>
      <c r="U80" s="234"/>
      <c r="V80" s="238"/>
      <c r="W80" s="239">
        <v>0</v>
      </c>
      <c r="X80" s="240">
        <v>1</v>
      </c>
      <c r="Y80" s="241" t="s">
        <v>1123</v>
      </c>
      <c r="Z80" s="242"/>
      <c r="AA80" s="243">
        <v>0</v>
      </c>
      <c r="AB80" s="244">
        <v>0</v>
      </c>
      <c r="AC80" s="123"/>
      <c r="AD80" s="4"/>
      <c r="AE80" s="4"/>
      <c r="AF80" s="4"/>
      <c r="AG80" s="4"/>
      <c r="AH80" s="4"/>
      <c r="AI80" s="4" t="str">
        <f>"      " &amp; TEXT(AB80,"#0.00%") &amp; " " &amp; "커맨드에 따른 구름 생성 메소드" &amp; "(김도형)" &amp; " " &amp; IF(M80="","",TEXT(M80,"M/D-")) &amp; IF(N80="","",TEXT(N80,"M/D")) &amp; " "</f>
        <v xml:space="preserve">      0.00% 커맨드에 따른 구름 생성 메소드(김도형) 4/6-4/8 </v>
      </c>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row>
    <row r="81" spans="1:161" outlineLevel="5">
      <c r="A81" s="116"/>
      <c r="B81" s="116"/>
      <c r="C81" s="116">
        <v>6</v>
      </c>
      <c r="D81" s="232" t="s">
        <v>1287</v>
      </c>
      <c r="E81" s="233"/>
      <c r="F81" s="233"/>
      <c r="G81" s="233"/>
      <c r="H81" s="233"/>
      <c r="I81" s="246"/>
      <c r="J81" s="233" t="s">
        <v>1279</v>
      </c>
      <c r="K81" s="233"/>
      <c r="L81" s="233"/>
      <c r="M81" s="234">
        <v>43562</v>
      </c>
      <c r="N81" s="234">
        <v>43563</v>
      </c>
      <c r="O81" s="235"/>
      <c r="P81" s="236">
        <v>2</v>
      </c>
      <c r="Q81" s="236">
        <v>0</v>
      </c>
      <c r="R81" s="237">
        <v>2</v>
      </c>
      <c r="S81" s="237">
        <v>0</v>
      </c>
      <c r="T81" s="234"/>
      <c r="U81" s="234"/>
      <c r="V81" s="238"/>
      <c r="W81" s="239">
        <v>0</v>
      </c>
      <c r="X81" s="240">
        <v>1</v>
      </c>
      <c r="Y81" s="241" t="s">
        <v>1123</v>
      </c>
      <c r="Z81" s="242"/>
      <c r="AA81" s="243">
        <v>0</v>
      </c>
      <c r="AB81" s="244">
        <v>0</v>
      </c>
      <c r="AC81" s="123"/>
      <c r="AD81" s="4"/>
      <c r="AE81" s="4"/>
      <c r="AF81" s="4"/>
      <c r="AG81" s="4"/>
      <c r="AH81" s="4"/>
      <c r="AI81" s="4"/>
      <c r="AJ81" s="4" t="str">
        <f>"" &amp; TEXT(AB81,"#0.00%") &amp; " " &amp; "커맨드에 맞춘 자동 점프" &amp; "(김도형)" &amp; " " &amp; IF(M81="","",TEXT(M81,"M/D-")) &amp; IF(N81="","",TEXT(N81,"M/D")) &amp; " "</f>
        <v xml:space="preserve">0.00% 커맨드에 맞춘 자동 점프(김도형) 4/7-4/8 </v>
      </c>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row>
    <row r="82" spans="1:161" outlineLevel="5">
      <c r="A82" s="116"/>
      <c r="B82" s="116"/>
      <c r="C82" s="116">
        <v>6</v>
      </c>
      <c r="D82" s="232" t="s">
        <v>1288</v>
      </c>
      <c r="E82" s="233"/>
      <c r="F82" s="233"/>
      <c r="G82" s="233"/>
      <c r="H82" s="233"/>
      <c r="I82" s="246"/>
      <c r="J82" s="233" t="s">
        <v>1280</v>
      </c>
      <c r="K82" s="233"/>
      <c r="L82" s="233" t="s">
        <v>1281</v>
      </c>
      <c r="M82" s="234">
        <v>43563</v>
      </c>
      <c r="N82" s="234">
        <v>43564</v>
      </c>
      <c r="O82" s="235"/>
      <c r="P82" s="236">
        <v>2</v>
      </c>
      <c r="Q82" s="236">
        <v>0</v>
      </c>
      <c r="R82" s="237">
        <v>2</v>
      </c>
      <c r="S82" s="237">
        <v>0</v>
      </c>
      <c r="T82" s="234"/>
      <c r="U82" s="234"/>
      <c r="V82" s="238"/>
      <c r="W82" s="239">
        <v>0</v>
      </c>
      <c r="X82" s="240">
        <v>1</v>
      </c>
      <c r="Y82" s="241" t="s">
        <v>1129</v>
      </c>
      <c r="Z82" s="242"/>
      <c r="AA82" s="243">
        <v>0</v>
      </c>
      <c r="AB82" s="244">
        <v>0</v>
      </c>
      <c r="AC82" s="123"/>
      <c r="AD82" s="4"/>
      <c r="AE82" s="4"/>
      <c r="AF82" s="4"/>
      <c r="AG82" s="4"/>
      <c r="AH82" s="4"/>
      <c r="AI82" s="4"/>
      <c r="AJ82" s="4" t="str">
        <f>" " &amp; TEXT(AB82,"#0.00%") &amp; " " &amp; "커맨드 Miss 시 생명 감소" &amp; "(김가연)" &amp; " " &amp; IF(M82="","",TEXT(M82,"M/D-")) &amp; IF(N82="","",TEXT(N82,"M/D")) &amp; " "</f>
        <v xml:space="preserve"> 0.00% 커맨드 Miss 시 생명 감소(김가연) 4/8-4/9 </v>
      </c>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row>
    <row r="83" spans="1:161" outlineLevel="5">
      <c r="A83" s="116"/>
      <c r="B83" s="116"/>
      <c r="C83" s="116">
        <v>6</v>
      </c>
      <c r="D83" s="232" t="s">
        <v>1289</v>
      </c>
      <c r="E83" s="233"/>
      <c r="F83" s="233"/>
      <c r="G83" s="233"/>
      <c r="H83" s="233"/>
      <c r="I83" s="246"/>
      <c r="J83" s="233" t="s">
        <v>1282</v>
      </c>
      <c r="K83" s="233"/>
      <c r="L83" s="233"/>
      <c r="M83" s="234">
        <v>43565</v>
      </c>
      <c r="N83" s="234">
        <v>43565</v>
      </c>
      <c r="O83" s="235"/>
      <c r="P83" s="236">
        <v>1</v>
      </c>
      <c r="Q83" s="236">
        <v>0</v>
      </c>
      <c r="R83" s="237">
        <v>1</v>
      </c>
      <c r="S83" s="237">
        <v>0</v>
      </c>
      <c r="T83" s="234"/>
      <c r="U83" s="234"/>
      <c r="V83" s="238"/>
      <c r="W83" s="239">
        <v>0</v>
      </c>
      <c r="X83" s="240">
        <v>1</v>
      </c>
      <c r="Y83" s="241" t="s">
        <v>1129</v>
      </c>
      <c r="Z83" s="242"/>
      <c r="AA83" s="243">
        <v>0</v>
      </c>
      <c r="AB83" s="244">
        <v>0</v>
      </c>
      <c r="AC83" s="123"/>
      <c r="AD83" s="4"/>
      <c r="AE83" s="4"/>
      <c r="AF83" s="4"/>
      <c r="AG83" s="4"/>
      <c r="AH83" s="4"/>
      <c r="AI83" s="4"/>
      <c r="AJ83" s="4" t="str">
        <f>"   " &amp; TEXT(AB83,"#0.00%") &amp; " " &amp; "게임 오버 씬 구현" &amp; "(김가연)" &amp; " " &amp; IF(M83="","",TEXT(M83,"M/D-")) &amp; IF(N83="","",TEXT(N83,"M/D")) &amp; " "</f>
        <v xml:space="preserve">   0.00% 게임 오버 씬 구현(김가연) 4/10-4/10 </v>
      </c>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row>
    <row r="84" spans="1:161" outlineLevel="5">
      <c r="A84" s="116"/>
      <c r="B84" s="116"/>
      <c r="C84" s="116">
        <v>6</v>
      </c>
      <c r="D84" s="232" t="s">
        <v>1290</v>
      </c>
      <c r="E84" s="233"/>
      <c r="F84" s="233"/>
      <c r="G84" s="233"/>
      <c r="H84" s="233"/>
      <c r="I84" s="246"/>
      <c r="J84" s="233" t="s">
        <v>1283</v>
      </c>
      <c r="K84" s="233"/>
      <c r="L84" s="233"/>
      <c r="M84" s="234">
        <v>43565</v>
      </c>
      <c r="N84" s="234">
        <v>43567</v>
      </c>
      <c r="O84" s="235"/>
      <c r="P84" s="236">
        <v>3</v>
      </c>
      <c r="Q84" s="236">
        <v>0</v>
      </c>
      <c r="R84" s="237">
        <v>3</v>
      </c>
      <c r="S84" s="237">
        <v>0</v>
      </c>
      <c r="T84" s="234"/>
      <c r="U84" s="234"/>
      <c r="V84" s="238"/>
      <c r="W84" s="239">
        <v>0</v>
      </c>
      <c r="X84" s="240">
        <v>1</v>
      </c>
      <c r="Y84" s="241" t="s">
        <v>1129</v>
      </c>
      <c r="Z84" s="242"/>
      <c r="AA84" s="243">
        <v>0</v>
      </c>
      <c r="AB84" s="244">
        <v>0</v>
      </c>
      <c r="AC84" s="123"/>
      <c r="AD84" s="4"/>
      <c r="AE84" s="4"/>
      <c r="AF84" s="4"/>
      <c r="AG84" s="4"/>
      <c r="AH84" s="4"/>
      <c r="AI84" s="4"/>
      <c r="AJ84" s="4" t="str">
        <f>"   " &amp; TEXT(AB84,"#0.00%") &amp; " " &amp; "점수, 콤보" &amp; "(김가연)" &amp; " " &amp; IF(M84="","",TEXT(M84,"M/D-")) &amp; IF(N84="","",TEXT(N84,"M/D")) &amp; " "</f>
        <v xml:space="preserve">   0.00% 점수, 콤보(김가연) 4/10-4/12 </v>
      </c>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row>
    <row r="85" spans="1:161" outlineLevel="5">
      <c r="A85" s="116"/>
      <c r="B85" s="116"/>
      <c r="C85" s="116">
        <v>0</v>
      </c>
      <c r="D85" s="232"/>
      <c r="E85" s="233"/>
      <c r="F85" s="233"/>
      <c r="G85" s="233"/>
      <c r="H85" s="233"/>
      <c r="I85" s="246"/>
      <c r="J85" s="233"/>
      <c r="K85" s="233"/>
      <c r="L85" s="233"/>
      <c r="M85" s="234"/>
      <c r="N85" s="234"/>
      <c r="O85" s="235"/>
      <c r="P85" s="236"/>
      <c r="Q85" s="236"/>
      <c r="R85" s="237">
        <v>0</v>
      </c>
      <c r="S85" s="237">
        <v>0</v>
      </c>
      <c r="T85" s="234"/>
      <c r="U85" s="234"/>
      <c r="V85" s="238"/>
      <c r="W85" s="239">
        <v>0</v>
      </c>
      <c r="X85" s="240"/>
      <c r="Y85" s="241"/>
      <c r="Z85" s="242"/>
      <c r="AA85" s="243"/>
      <c r="AB85" s="244"/>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row>
    <row r="86" spans="1:161" outlineLevel="5">
      <c r="A86" s="116"/>
      <c r="B86" s="116"/>
      <c r="C86" s="116">
        <v>6</v>
      </c>
      <c r="D86" s="232" t="s">
        <v>1291</v>
      </c>
      <c r="E86" s="233"/>
      <c r="F86" s="233"/>
      <c r="G86" s="233"/>
      <c r="H86" s="233"/>
      <c r="I86" s="246"/>
      <c r="J86" s="233" t="s">
        <v>1229</v>
      </c>
      <c r="K86" s="233"/>
      <c r="L86" s="233" t="s">
        <v>1284</v>
      </c>
      <c r="M86" s="234">
        <v>43568</v>
      </c>
      <c r="N86" s="234">
        <v>43568</v>
      </c>
      <c r="O86" s="235"/>
      <c r="P86" s="236">
        <v>1</v>
      </c>
      <c r="Q86" s="236">
        <v>0</v>
      </c>
      <c r="R86" s="237">
        <v>1</v>
      </c>
      <c r="S86" s="237">
        <v>0</v>
      </c>
      <c r="T86" s="234"/>
      <c r="U86" s="234"/>
      <c r="V86" s="238"/>
      <c r="W86" s="239">
        <v>0</v>
      </c>
      <c r="X86" s="240">
        <v>1</v>
      </c>
      <c r="Y86" s="241" t="s">
        <v>1129</v>
      </c>
      <c r="Z86" s="242"/>
      <c r="AA86" s="243">
        <v>0</v>
      </c>
      <c r="AB86" s="244">
        <v>1</v>
      </c>
      <c r="AC86" s="123"/>
      <c r="AD86" s="4"/>
      <c r="AE86" s="4"/>
      <c r="AF86" s="4"/>
      <c r="AG86" s="4"/>
      <c r="AH86" s="4"/>
      <c r="AI86" s="4"/>
      <c r="AJ86" s="4"/>
      <c r="AK86" s="4" t="str">
        <f>"" &amp; TEXT(AB86,"#0.00%") &amp; " " &amp; "게임 시작 로딩 기능 구현" &amp; "(김가연)" &amp; " " &amp; IF(M86="","",TEXT(M86,"M/D-")) &amp; IF(N86="","",TEXT(N86,"M/D")) &amp; " "</f>
        <v xml:space="preserve">100.00% 게임 시작 로딩 기능 구현(김가연) 4/13-4/13 </v>
      </c>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row>
    <row r="87" spans="1:161" outlineLevel="5">
      <c r="A87" s="116"/>
      <c r="B87" s="116"/>
      <c r="C87" s="116">
        <v>6</v>
      </c>
      <c r="D87" s="232" t="s">
        <v>1292</v>
      </c>
      <c r="E87" s="233"/>
      <c r="F87" s="233"/>
      <c r="G87" s="233"/>
      <c r="H87" s="233"/>
      <c r="I87" s="233"/>
      <c r="J87" s="233" t="s">
        <v>1285</v>
      </c>
      <c r="K87" s="233"/>
      <c r="L87" s="233"/>
      <c r="M87" s="234">
        <v>43569</v>
      </c>
      <c r="N87" s="234">
        <v>43572</v>
      </c>
      <c r="O87" s="235"/>
      <c r="P87" s="236">
        <v>4</v>
      </c>
      <c r="Q87" s="236">
        <v>0</v>
      </c>
      <c r="R87" s="237">
        <v>4</v>
      </c>
      <c r="S87" s="237">
        <v>0</v>
      </c>
      <c r="T87" s="234"/>
      <c r="U87" s="234"/>
      <c r="V87" s="238"/>
      <c r="W87" s="239">
        <v>0</v>
      </c>
      <c r="X87" s="240">
        <v>1</v>
      </c>
      <c r="Y87" s="241" t="s">
        <v>1123</v>
      </c>
      <c r="Z87" s="242"/>
      <c r="AA87" s="243">
        <v>0</v>
      </c>
      <c r="AB87" s="244">
        <v>0</v>
      </c>
      <c r="AC87" s="123"/>
      <c r="AD87" s="4"/>
      <c r="AE87" s="4"/>
      <c r="AF87" s="4"/>
      <c r="AG87" s="4"/>
      <c r="AH87" s="4"/>
      <c r="AI87" s="4"/>
      <c r="AJ87" s="4"/>
      <c r="AK87" s="4" t="str">
        <f>"" &amp; TEXT(AB87,"#0.00%") &amp; " " &amp; "블록 랜덤 생성" &amp; "(김도형)" &amp; " " &amp; IF(M87="","",TEXT(M87,"M/D-")) &amp; IF(N87="","",TEXT(N87,"M/D")) &amp; " "</f>
        <v xml:space="preserve">0.00% 블록 랜덤 생성(김도형) 4/14-4/17 </v>
      </c>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row>
    <row r="88" spans="1:161" outlineLevel="5">
      <c r="A88" s="116"/>
      <c r="B88" s="116"/>
      <c r="C88" s="116">
        <v>6</v>
      </c>
      <c r="D88" s="232" t="s">
        <v>1294</v>
      </c>
      <c r="E88" s="233"/>
      <c r="F88" s="233"/>
      <c r="G88" s="233"/>
      <c r="H88" s="233"/>
      <c r="I88" s="233"/>
      <c r="J88" s="233" t="s">
        <v>1293</v>
      </c>
      <c r="K88" s="233"/>
      <c r="L88" s="233"/>
      <c r="M88" s="234">
        <v>43573</v>
      </c>
      <c r="N88" s="234">
        <v>43574</v>
      </c>
      <c r="O88" s="235"/>
      <c r="P88" s="236">
        <v>2</v>
      </c>
      <c r="Q88" s="236">
        <v>0</v>
      </c>
      <c r="R88" s="237">
        <v>2</v>
      </c>
      <c r="S88" s="237">
        <v>0</v>
      </c>
      <c r="T88" s="234"/>
      <c r="U88" s="234"/>
      <c r="V88" s="238"/>
      <c r="W88" s="239">
        <v>0</v>
      </c>
      <c r="X88" s="240">
        <v>1</v>
      </c>
      <c r="Y88" s="241" t="s">
        <v>1129</v>
      </c>
      <c r="Z88" s="242"/>
      <c r="AA88" s="243">
        <v>0</v>
      </c>
      <c r="AB88" s="244">
        <v>0</v>
      </c>
      <c r="AC88" s="123"/>
      <c r="AD88" s="4"/>
      <c r="AE88" s="4"/>
      <c r="AF88" s="4"/>
      <c r="AG88" s="4"/>
      <c r="AH88" s="4"/>
      <c r="AI88" s="4"/>
      <c r="AJ88" s="4"/>
      <c r="AK88" s="4" t="str">
        <f>"    " &amp; TEXT(AB88,"#0.00%") &amp; " " &amp; "타격 시 블록 제거,  효과 구현" &amp; "(김가연)" &amp; " " &amp; IF(M88="","",TEXT(M88,"M/D-")) &amp; IF(N88="","",TEXT(N88,"M/D")) &amp; " "</f>
        <v xml:space="preserve">    0.00% 타격 시 블록 제거,  효과 구현(김가연) 4/18-4/19 </v>
      </c>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row>
    <row r="89" spans="1:161" outlineLevel="5">
      <c r="A89" s="116"/>
      <c r="B89" s="116"/>
      <c r="C89" s="116">
        <v>6</v>
      </c>
      <c r="D89" s="232" t="s">
        <v>1297</v>
      </c>
      <c r="E89" s="233"/>
      <c r="F89" s="233"/>
      <c r="G89" s="233"/>
      <c r="H89" s="233"/>
      <c r="I89" s="233"/>
      <c r="J89" s="233" t="s">
        <v>1295</v>
      </c>
      <c r="K89" s="233"/>
      <c r="L89" s="233"/>
      <c r="M89" s="234">
        <v>43577</v>
      </c>
      <c r="N89" s="234">
        <v>43579</v>
      </c>
      <c r="O89" s="235"/>
      <c r="P89" s="236">
        <v>3</v>
      </c>
      <c r="Q89" s="236">
        <v>0</v>
      </c>
      <c r="R89" s="237">
        <v>3</v>
      </c>
      <c r="S89" s="237">
        <v>0</v>
      </c>
      <c r="T89" s="234"/>
      <c r="U89" s="234"/>
      <c r="V89" s="238"/>
      <c r="W89" s="239">
        <v>0</v>
      </c>
      <c r="X89" s="240">
        <v>1</v>
      </c>
      <c r="Y89" s="241" t="s">
        <v>1123</v>
      </c>
      <c r="Z89" s="242"/>
      <c r="AA89" s="243">
        <v>0</v>
      </c>
      <c r="AB89" s="244">
        <v>0</v>
      </c>
      <c r="AC89" s="123"/>
      <c r="AD89" s="4"/>
      <c r="AE89" s="4"/>
      <c r="AF89" s="4"/>
      <c r="AG89" s="4"/>
      <c r="AH89" s="4"/>
      <c r="AI89" s="4"/>
      <c r="AJ89" s="4"/>
      <c r="AK89" s="4"/>
      <c r="AL89" s="4" t="str">
        <f>" " &amp; TEXT(AB89,"#0.00%") &amp; " " &amp; "점수에 따른 노래 배속" &amp; "(김도형)" &amp; " " &amp; IF(M89="","",TEXT(M89,"M/D-")) &amp; IF(N89="","",TEXT(N89,"M/D")) &amp; " "</f>
        <v xml:space="preserve"> 0.00% 점수에 따른 노래 배속(김도형) 4/22-4/24 </v>
      </c>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row>
    <row r="90" spans="1:161" outlineLevel="5">
      <c r="A90" s="116"/>
      <c r="B90" s="116"/>
      <c r="C90" s="116">
        <v>6</v>
      </c>
      <c r="D90" s="232" t="s">
        <v>1298</v>
      </c>
      <c r="E90" s="233"/>
      <c r="F90" s="233"/>
      <c r="G90" s="233"/>
      <c r="H90" s="233"/>
      <c r="I90" s="233"/>
      <c r="J90" s="233" t="s">
        <v>1296</v>
      </c>
      <c r="K90" s="233"/>
      <c r="L90" s="233"/>
      <c r="M90" s="234">
        <v>43575</v>
      </c>
      <c r="N90" s="234">
        <v>43576</v>
      </c>
      <c r="O90" s="235"/>
      <c r="P90" s="236">
        <v>2</v>
      </c>
      <c r="Q90" s="236">
        <v>0</v>
      </c>
      <c r="R90" s="237">
        <v>2</v>
      </c>
      <c r="S90" s="237">
        <v>0</v>
      </c>
      <c r="T90" s="234"/>
      <c r="U90" s="234"/>
      <c r="V90" s="238"/>
      <c r="W90" s="239">
        <v>0</v>
      </c>
      <c r="X90" s="240">
        <v>1</v>
      </c>
      <c r="Y90" s="241" t="s">
        <v>1129</v>
      </c>
      <c r="Z90" s="242"/>
      <c r="AA90" s="243">
        <v>0</v>
      </c>
      <c r="AB90" s="244">
        <v>0</v>
      </c>
      <c r="AC90" s="123"/>
      <c r="AD90" s="4"/>
      <c r="AE90" s="4"/>
      <c r="AF90" s="4"/>
      <c r="AG90" s="4"/>
      <c r="AH90" s="4"/>
      <c r="AI90" s="4"/>
      <c r="AJ90" s="4"/>
      <c r="AK90" s="4" t="str">
        <f>"      " &amp; TEXT(AB90,"#0.00%") &amp; " " &amp; "콤보 효과" &amp; "(김가연)" &amp; " " &amp; IF(M90="","",TEXT(M90,"M/D-")) &amp; IF(N90="","",TEXT(N90,"M/D")) &amp; " "</f>
        <v xml:space="preserve">      0.00% 콤보 효과(김가연) 4/20-4/21 </v>
      </c>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row>
    <row r="91" spans="1:161" outlineLevel="5">
      <c r="A91" s="116"/>
      <c r="B91" s="116"/>
      <c r="C91" s="116">
        <v>6</v>
      </c>
      <c r="D91" s="232" t="s">
        <v>1300</v>
      </c>
      <c r="E91" s="233"/>
      <c r="F91" s="233"/>
      <c r="G91" s="233"/>
      <c r="H91" s="233"/>
      <c r="I91" s="233"/>
      <c r="J91" s="233" t="s">
        <v>1299</v>
      </c>
      <c r="K91" s="233"/>
      <c r="L91" s="233"/>
      <c r="M91" s="234">
        <v>43576</v>
      </c>
      <c r="N91" s="234">
        <v>43576</v>
      </c>
      <c r="O91" s="235"/>
      <c r="P91" s="236">
        <v>1</v>
      </c>
      <c r="Q91" s="236">
        <v>0</v>
      </c>
      <c r="R91" s="237">
        <v>1</v>
      </c>
      <c r="S91" s="237">
        <v>0</v>
      </c>
      <c r="T91" s="234"/>
      <c r="U91" s="234"/>
      <c r="V91" s="238"/>
      <c r="W91" s="239">
        <v>0</v>
      </c>
      <c r="X91" s="240">
        <v>1</v>
      </c>
      <c r="Y91" s="241" t="s">
        <v>1129</v>
      </c>
      <c r="Z91" s="242"/>
      <c r="AA91" s="243">
        <v>0</v>
      </c>
      <c r="AB91" s="244">
        <v>0</v>
      </c>
      <c r="AC91" s="123"/>
      <c r="AD91" s="4"/>
      <c r="AE91" s="4"/>
      <c r="AF91" s="4"/>
      <c r="AG91" s="4"/>
      <c r="AH91" s="4"/>
      <c r="AI91" s="4"/>
      <c r="AJ91" s="4"/>
      <c r="AK91" s="4"/>
      <c r="AL91" s="4" t="str">
        <f>"" &amp; TEXT(AB91,"#0.00%") &amp; " " &amp; "시간 경과 시 게임종료" &amp; "(김가연)" &amp; " " &amp; IF(M91="","",TEXT(M91,"M/D-")) &amp; IF(N91="","",TEXT(N91,"M/D")) &amp; " "</f>
        <v xml:space="preserve">0.00% 시간 경과 시 게임종료(김가연) 4/21-4/21 </v>
      </c>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row>
    <row r="92" spans="1:161" outlineLevel="5">
      <c r="A92" s="116"/>
      <c r="B92" s="116"/>
      <c r="C92" s="116">
        <v>6</v>
      </c>
      <c r="D92" s="232" t="s">
        <v>1301</v>
      </c>
      <c r="E92" s="233"/>
      <c r="F92" s="233"/>
      <c r="G92" s="233"/>
      <c r="H92" s="233"/>
      <c r="I92" s="233"/>
      <c r="J92" s="246" t="s">
        <v>1282</v>
      </c>
      <c r="K92" s="233"/>
      <c r="L92" s="233"/>
      <c r="M92" s="234">
        <v>43580</v>
      </c>
      <c r="N92" s="234">
        <v>43580</v>
      </c>
      <c r="O92" s="235"/>
      <c r="P92" s="236">
        <v>1</v>
      </c>
      <c r="Q92" s="236">
        <v>0</v>
      </c>
      <c r="R92" s="237">
        <v>1</v>
      </c>
      <c r="S92" s="237">
        <v>0</v>
      </c>
      <c r="T92" s="234"/>
      <c r="U92" s="234"/>
      <c r="V92" s="238"/>
      <c r="W92" s="239">
        <v>0</v>
      </c>
      <c r="X92" s="240">
        <v>1</v>
      </c>
      <c r="Y92" s="241" t="s">
        <v>1129</v>
      </c>
      <c r="Z92" s="242"/>
      <c r="AA92" s="243">
        <v>0</v>
      </c>
      <c r="AB92" s="244">
        <v>1</v>
      </c>
      <c r="AC92" s="123"/>
      <c r="AD92" s="4"/>
      <c r="AE92" s="4"/>
      <c r="AF92" s="4"/>
      <c r="AG92" s="4"/>
      <c r="AH92" s="4"/>
      <c r="AI92" s="4"/>
      <c r="AJ92" s="4"/>
      <c r="AK92" s="4"/>
      <c r="AL92" s="4" t="str">
        <f>"     " &amp; TEXT(AB92,"#0.00%") &amp; " " &amp; "게임 오버 씬 구현" &amp; "(김가연)" &amp; " " &amp; IF(M92="","",TEXT(M92,"M/D-")) &amp; IF(N92="","",TEXT(N92,"M/D")) &amp; " "</f>
        <v xml:space="preserve">     100.00% 게임 오버 씬 구현(김가연) 4/25-4/25 </v>
      </c>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row>
    <row r="93" spans="1:161" outlineLevel="5">
      <c r="A93" s="116"/>
      <c r="B93" s="116"/>
      <c r="C93" s="116">
        <v>0</v>
      </c>
      <c r="D93" s="232"/>
      <c r="E93" s="233"/>
      <c r="F93" s="233"/>
      <c r="G93" s="233"/>
      <c r="H93" s="233"/>
      <c r="I93" s="233"/>
      <c r="J93" s="233"/>
      <c r="K93" s="233"/>
      <c r="L93" s="233"/>
      <c r="M93" s="234"/>
      <c r="N93" s="234"/>
      <c r="O93" s="235"/>
      <c r="P93" s="236"/>
      <c r="Q93" s="236"/>
      <c r="R93" s="237">
        <v>0</v>
      </c>
      <c r="S93" s="237">
        <v>0</v>
      </c>
      <c r="T93" s="234"/>
      <c r="U93" s="234"/>
      <c r="V93" s="238"/>
      <c r="W93" s="239">
        <v>0</v>
      </c>
      <c r="X93" s="240"/>
      <c r="Y93" s="241"/>
      <c r="Z93" s="242"/>
      <c r="AA93" s="243"/>
      <c r="AB93" s="244"/>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row>
    <row r="94" spans="1:161" outlineLevel="3">
      <c r="A94" s="116"/>
      <c r="B94" s="116" t="s">
        <v>1071</v>
      </c>
      <c r="C94" s="116">
        <v>4</v>
      </c>
      <c r="D94" s="219" t="s">
        <v>1155</v>
      </c>
      <c r="E94" s="220"/>
      <c r="F94" s="220"/>
      <c r="G94" s="220"/>
      <c r="H94" s="221" t="s">
        <v>1165</v>
      </c>
      <c r="I94" s="221"/>
      <c r="J94" s="220"/>
      <c r="K94" s="220"/>
      <c r="L94" s="220"/>
      <c r="M94" s="222">
        <v>43545</v>
      </c>
      <c r="N94" s="222">
        <v>43579</v>
      </c>
      <c r="O94" s="223"/>
      <c r="P94" s="224">
        <v>39</v>
      </c>
      <c r="Q94" s="224">
        <v>13</v>
      </c>
      <c r="R94" s="225">
        <v>35</v>
      </c>
      <c r="S94" s="225">
        <v>10</v>
      </c>
      <c r="T94" s="222"/>
      <c r="U94" s="222"/>
      <c r="V94" s="226">
        <v>0</v>
      </c>
      <c r="W94" s="227">
        <v>0</v>
      </c>
      <c r="X94" s="228"/>
      <c r="Y94" s="223"/>
      <c r="Z94" s="245"/>
      <c r="AA94" s="230">
        <v>0.33333333333333331</v>
      </c>
      <c r="AB94" s="231">
        <v>0.32051282051282054</v>
      </c>
      <c r="AC94" s="123"/>
      <c r="AD94" s="4"/>
      <c r="AE94" s="4"/>
      <c r="AF94" s="4"/>
      <c r="AG94" s="4"/>
      <c r="AH94" s="4"/>
      <c r="AI94" s="4" t="str">
        <f>" " &amp; TEXT(AB94,"#0.00%") &amp; " "</f>
        <v xml:space="preserve"> 32.05% </v>
      </c>
      <c r="AJ94" s="4"/>
      <c r="AK94" s="4"/>
      <c r="AL94" s="4" t="str">
        <f>"    " &amp; "웹 서비스" &amp; " " &amp; IF(M94="","",TEXT(M94,"M/D-")) &amp; IF(N94="","",TEXT(N94,"M/D")) &amp; " "</f>
        <v xml:space="preserve">    웹 서비스 3/21-4/24 </v>
      </c>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row>
    <row r="95" spans="1:161" outlineLevel="4">
      <c r="A95" s="116"/>
      <c r="B95" s="116" t="s">
        <v>1071</v>
      </c>
      <c r="C95" s="116">
        <v>5</v>
      </c>
      <c r="D95" s="219" t="s">
        <v>1167</v>
      </c>
      <c r="E95" s="220"/>
      <c r="F95" s="220"/>
      <c r="G95" s="220"/>
      <c r="H95" s="221"/>
      <c r="I95" s="221" t="s">
        <v>1383</v>
      </c>
      <c r="J95" s="220"/>
      <c r="K95" s="220"/>
      <c r="L95" s="220"/>
      <c r="M95" s="222">
        <v>43545</v>
      </c>
      <c r="N95" s="222">
        <v>43548</v>
      </c>
      <c r="O95" s="223"/>
      <c r="P95" s="224">
        <v>8</v>
      </c>
      <c r="Q95" s="224">
        <v>8</v>
      </c>
      <c r="R95" s="225">
        <v>4</v>
      </c>
      <c r="S95" s="225">
        <v>4</v>
      </c>
      <c r="T95" s="222"/>
      <c r="U95" s="222"/>
      <c r="V95" s="226">
        <v>0</v>
      </c>
      <c r="W95" s="227">
        <v>0</v>
      </c>
      <c r="X95" s="228"/>
      <c r="Y95" s="223"/>
      <c r="Z95" s="245"/>
      <c r="AA95" s="230">
        <v>1</v>
      </c>
      <c r="AB95" s="231">
        <v>1</v>
      </c>
      <c r="AC95" s="123"/>
      <c r="AD95" s="4"/>
      <c r="AE95" s="4"/>
      <c r="AF95" s="4"/>
      <c r="AG95" s="4"/>
      <c r="AH95" s="4" t="str">
        <f>" " &amp; TEXT(AB95,"#0.00%") &amp; " " &amp; "로그인" &amp; " " &amp; IF(M95="","",TEXT(M95,"M/D-")) &amp; IF(N95="","",TEXT(N95,"M/D")) &amp; " "</f>
        <v xml:space="preserve"> 100.00% 로그인 3/21-3/24 </v>
      </c>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row>
    <row r="96" spans="1:161" outlineLevel="5">
      <c r="A96" s="116"/>
      <c r="B96" s="116"/>
      <c r="C96" s="116">
        <v>6</v>
      </c>
      <c r="D96" s="3" t="s">
        <v>1365</v>
      </c>
      <c r="E96" s="184"/>
      <c r="F96" s="184"/>
      <c r="G96" s="184"/>
      <c r="H96" s="217"/>
      <c r="I96" s="217"/>
      <c r="J96" s="217" t="s">
        <v>1384</v>
      </c>
      <c r="K96" s="184"/>
      <c r="L96" s="184"/>
      <c r="M96" s="185">
        <v>43545</v>
      </c>
      <c r="N96" s="185">
        <v>43548</v>
      </c>
      <c r="O96" s="186"/>
      <c r="P96" s="187">
        <v>4</v>
      </c>
      <c r="Q96" s="187">
        <v>4</v>
      </c>
      <c r="R96" s="188">
        <v>4</v>
      </c>
      <c r="S96" s="188">
        <v>4</v>
      </c>
      <c r="T96" s="185"/>
      <c r="U96" s="185"/>
      <c r="V96" s="189"/>
      <c r="W96" s="190">
        <v>0</v>
      </c>
      <c r="X96" s="191">
        <v>1</v>
      </c>
      <c r="Y96" s="216" t="s">
        <v>1128</v>
      </c>
      <c r="Z96" s="192"/>
      <c r="AA96" s="97">
        <v>1</v>
      </c>
      <c r="AB96" s="193">
        <v>1</v>
      </c>
      <c r="AC96" s="123"/>
      <c r="AD96" s="4"/>
      <c r="AE96" s="4"/>
      <c r="AF96" s="4"/>
      <c r="AG96" s="4"/>
      <c r="AH96" s="4" t="str">
        <f>" " &amp; TEXT(AB96,"#0.00%") &amp; " " &amp; "회원가입 창" &amp; "(김보령)" &amp; " " &amp; IF(M96="","",TEXT(M96,"M/D-")) &amp; IF(N96="","",TEXT(N96,"M/D")) &amp; " "</f>
        <v xml:space="preserve"> 100.00% 회원가입 창(김보령) 3/21-3/24 </v>
      </c>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row>
    <row r="97" spans="1:161" outlineLevel="5">
      <c r="A97" s="116"/>
      <c r="B97" s="116"/>
      <c r="C97" s="116">
        <v>6</v>
      </c>
      <c r="D97" s="3" t="s">
        <v>1366</v>
      </c>
      <c r="E97" s="184"/>
      <c r="F97" s="184"/>
      <c r="G97" s="184"/>
      <c r="H97" s="217"/>
      <c r="I97" s="217"/>
      <c r="J97" s="184" t="s">
        <v>1385</v>
      </c>
      <c r="K97" s="184"/>
      <c r="L97" s="184"/>
      <c r="M97" s="185">
        <v>43545</v>
      </c>
      <c r="N97" s="185">
        <v>43548</v>
      </c>
      <c r="O97" s="186"/>
      <c r="P97" s="187">
        <v>4</v>
      </c>
      <c r="Q97" s="187">
        <v>4</v>
      </c>
      <c r="R97" s="188">
        <v>4</v>
      </c>
      <c r="S97" s="188">
        <v>4</v>
      </c>
      <c r="T97" s="185"/>
      <c r="U97" s="185"/>
      <c r="V97" s="189"/>
      <c r="W97" s="190">
        <v>0</v>
      </c>
      <c r="X97" s="191">
        <v>1</v>
      </c>
      <c r="Y97" s="216" t="s">
        <v>1128</v>
      </c>
      <c r="Z97" s="192"/>
      <c r="AA97" s="97">
        <v>1</v>
      </c>
      <c r="AB97" s="193">
        <v>1</v>
      </c>
      <c r="AC97" s="123"/>
      <c r="AD97" s="4"/>
      <c r="AE97" s="4"/>
      <c r="AF97" s="4"/>
      <c r="AG97" s="4"/>
      <c r="AH97" s="4" t="str">
        <f>" " &amp; TEXT(AB97,"#0.00%") &amp; " " &amp; "로그인 창" &amp; "(김보령)" &amp; " " &amp; IF(M97="","",TEXT(M97,"M/D-")) &amp; IF(N97="","",TEXT(N97,"M/D")) &amp; " "</f>
        <v xml:space="preserve"> 100.00% 로그인 창(김보령) 3/21-3/24 </v>
      </c>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row>
    <row r="98" spans="1:161" outlineLevel="4">
      <c r="A98" s="116"/>
      <c r="B98" s="116" t="s">
        <v>1071</v>
      </c>
      <c r="C98" s="116">
        <v>5</v>
      </c>
      <c r="D98" s="3" t="s">
        <v>1212</v>
      </c>
      <c r="E98" s="184"/>
      <c r="F98" s="184"/>
      <c r="G98" s="184"/>
      <c r="H98" s="184"/>
      <c r="I98" s="217" t="s">
        <v>1353</v>
      </c>
      <c r="J98" s="184"/>
      <c r="K98" s="184"/>
      <c r="L98" s="184"/>
      <c r="M98" s="185">
        <v>43550</v>
      </c>
      <c r="N98" s="185">
        <v>43558</v>
      </c>
      <c r="O98" s="186"/>
      <c r="P98" s="187">
        <v>10</v>
      </c>
      <c r="Q98" s="187">
        <v>5</v>
      </c>
      <c r="R98" s="188">
        <v>9</v>
      </c>
      <c r="S98" s="188">
        <v>5</v>
      </c>
      <c r="T98" s="185"/>
      <c r="U98" s="185"/>
      <c r="V98" s="189">
        <v>0</v>
      </c>
      <c r="W98" s="190">
        <v>0</v>
      </c>
      <c r="X98" s="191"/>
      <c r="Y98" s="216"/>
      <c r="Z98" s="192"/>
      <c r="AA98" s="97">
        <v>0.5</v>
      </c>
      <c r="AB98" s="193">
        <v>0.2</v>
      </c>
      <c r="AC98" s="123"/>
      <c r="AD98" s="4"/>
      <c r="AE98" s="4"/>
      <c r="AF98" s="4"/>
      <c r="AG98" s="4"/>
      <c r="AH98" s="4" t="str">
        <f>"    " &amp; TEXT(AB98,"#0.00%") &amp; " " &amp; "소리마당(메인페이지)" &amp; " " &amp; IF(M98="","",TEXT(M98,"M/D-")) &amp; IF(N98="","",TEXT(N98,"M/D")) &amp; " "</f>
        <v xml:space="preserve">    20.00% 소리마당(메인페이지) 3/26-4/3 </v>
      </c>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row>
    <row r="99" spans="1:161" outlineLevel="5">
      <c r="A99" s="116"/>
      <c r="B99" s="116"/>
      <c r="C99" s="116">
        <v>6</v>
      </c>
      <c r="D99" s="3" t="s">
        <v>1367</v>
      </c>
      <c r="E99" s="184"/>
      <c r="F99" s="184"/>
      <c r="G99" s="184"/>
      <c r="H99" s="184"/>
      <c r="I99" s="217"/>
      <c r="J99" s="184" t="s">
        <v>1354</v>
      </c>
      <c r="K99" s="184"/>
      <c r="L99" s="184"/>
      <c r="M99" s="185">
        <v>43550</v>
      </c>
      <c r="N99" s="185">
        <v>43553</v>
      </c>
      <c r="O99" s="186"/>
      <c r="P99" s="187">
        <v>4</v>
      </c>
      <c r="Q99" s="187">
        <v>4</v>
      </c>
      <c r="R99" s="188">
        <v>4</v>
      </c>
      <c r="S99" s="188">
        <v>4</v>
      </c>
      <c r="T99" s="185"/>
      <c r="U99" s="185"/>
      <c r="V99" s="189"/>
      <c r="W99" s="190">
        <v>0</v>
      </c>
      <c r="X99" s="191">
        <v>1</v>
      </c>
      <c r="Y99" s="216" t="s">
        <v>1128</v>
      </c>
      <c r="Z99" s="192"/>
      <c r="AA99" s="97">
        <v>1</v>
      </c>
      <c r="AB99" s="193">
        <v>0.5</v>
      </c>
      <c r="AC99" s="123"/>
      <c r="AD99" s="4"/>
      <c r="AE99" s="4"/>
      <c r="AF99" s="4"/>
      <c r="AG99" s="4"/>
      <c r="AH99" s="4" t="str">
        <f>"    " &amp; TEXT(AB99,"#0.00%") &amp; " " &amp; "메인게시판 구현" &amp; "(김보령)" &amp; " " &amp; IF(M99="","",TEXT(M99,"M/D-")) &amp; IF(N99="","",TEXT(N99,"M/D")) &amp; " "</f>
        <v xml:space="preserve">    50.00% 메인게시판 구현(김보령) 3/26-3/29 </v>
      </c>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row>
    <row r="100" spans="1:161" outlineLevel="5">
      <c r="A100" s="116"/>
      <c r="B100" s="116"/>
      <c r="C100" s="116">
        <v>6</v>
      </c>
      <c r="D100" s="3" t="s">
        <v>1368</v>
      </c>
      <c r="E100" s="184"/>
      <c r="F100" s="184"/>
      <c r="G100" s="184"/>
      <c r="H100" s="184"/>
      <c r="I100" s="217"/>
      <c r="J100" s="184" t="s">
        <v>1355</v>
      </c>
      <c r="K100" s="184"/>
      <c r="L100" s="184"/>
      <c r="M100" s="185">
        <v>43554</v>
      </c>
      <c r="N100" s="185">
        <v>43557</v>
      </c>
      <c r="O100" s="186"/>
      <c r="P100" s="187">
        <v>4</v>
      </c>
      <c r="Q100" s="187">
        <v>1</v>
      </c>
      <c r="R100" s="188">
        <v>4</v>
      </c>
      <c r="S100" s="188">
        <v>1</v>
      </c>
      <c r="T100" s="185"/>
      <c r="U100" s="185"/>
      <c r="V100" s="189"/>
      <c r="W100" s="190">
        <v>0</v>
      </c>
      <c r="X100" s="191">
        <v>1</v>
      </c>
      <c r="Y100" s="216" t="s">
        <v>1128</v>
      </c>
      <c r="Z100" s="192"/>
      <c r="AA100" s="97">
        <v>0.25</v>
      </c>
      <c r="AB100" s="193">
        <v>0</v>
      </c>
      <c r="AC100" s="123"/>
      <c r="AD100" s="4"/>
      <c r="AE100" s="4"/>
      <c r="AF100" s="4"/>
      <c r="AG100" s="4"/>
      <c r="AH100" s="4" t="str">
        <f>"      " &amp; TEXT(AB100,"#0.00%") &amp; " " &amp; "게시물 상세페이지 구현" &amp; "(김보령)" &amp; " " &amp; IF(M100="","",TEXT(M100,"M/D-")) &amp; IF(N100="","",TEXT(N100,"M/D")) &amp; " "</f>
        <v xml:space="preserve">      0.00% 게시물 상세페이지 구현(김보령) 3/30-4/2 </v>
      </c>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row>
    <row r="101" spans="1:161" outlineLevel="5">
      <c r="A101" s="116"/>
      <c r="B101" s="116"/>
      <c r="C101" s="116">
        <v>6</v>
      </c>
      <c r="D101" s="3" t="s">
        <v>1386</v>
      </c>
      <c r="E101" s="184"/>
      <c r="F101" s="184"/>
      <c r="G101" s="184"/>
      <c r="H101" s="184"/>
      <c r="I101" s="217"/>
      <c r="J101" s="184" t="s">
        <v>1356</v>
      </c>
      <c r="K101" s="184"/>
      <c r="L101" s="184"/>
      <c r="M101" s="185">
        <v>43557</v>
      </c>
      <c r="N101" s="185">
        <v>43558</v>
      </c>
      <c r="O101" s="186"/>
      <c r="P101" s="187">
        <v>2</v>
      </c>
      <c r="Q101" s="187">
        <v>0</v>
      </c>
      <c r="R101" s="188">
        <v>2</v>
      </c>
      <c r="S101" s="188">
        <v>0</v>
      </c>
      <c r="T101" s="185"/>
      <c r="U101" s="185"/>
      <c r="V101" s="189"/>
      <c r="W101" s="190">
        <v>0</v>
      </c>
      <c r="X101" s="191">
        <v>1</v>
      </c>
      <c r="Y101" s="216" t="s">
        <v>1128</v>
      </c>
      <c r="Z101" s="192"/>
      <c r="AA101" s="97">
        <v>0</v>
      </c>
      <c r="AB101" s="193">
        <v>0</v>
      </c>
      <c r="AC101" s="123"/>
      <c r="AD101" s="4"/>
      <c r="AE101" s="4"/>
      <c r="AF101" s="4"/>
      <c r="AG101" s="4"/>
      <c r="AH101" s="4"/>
      <c r="AI101" s="4" t="str">
        <f>"  " &amp; TEXT(AB101,"#0.00%") &amp; " " &amp; "유저 개인페이지 구현" &amp; "(김보령)" &amp; " " &amp; IF(M101="","",TEXT(M101,"M/D-")) &amp; IF(N101="","",TEXT(N101,"M/D")) &amp; " "</f>
        <v xml:space="preserve">  0.00% 유저 개인페이지 구현(김보령) 4/2-4/3 </v>
      </c>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row>
    <row r="102" spans="1:161" outlineLevel="4">
      <c r="A102" s="116"/>
      <c r="B102" s="116" t="s">
        <v>1071</v>
      </c>
      <c r="C102" s="116">
        <v>5</v>
      </c>
      <c r="D102" s="3" t="s">
        <v>1213</v>
      </c>
      <c r="E102" s="184"/>
      <c r="F102" s="184"/>
      <c r="G102" s="184"/>
      <c r="H102" s="184"/>
      <c r="I102" s="217" t="s">
        <v>1209</v>
      </c>
      <c r="J102" s="184"/>
      <c r="K102" s="184"/>
      <c r="L102" s="184"/>
      <c r="M102" s="185">
        <v>43555</v>
      </c>
      <c r="N102" s="185">
        <v>43556</v>
      </c>
      <c r="O102" s="186"/>
      <c r="P102" s="187">
        <v>2</v>
      </c>
      <c r="Q102" s="187">
        <v>0</v>
      </c>
      <c r="R102" s="188">
        <v>2</v>
      </c>
      <c r="S102" s="188">
        <v>0</v>
      </c>
      <c r="T102" s="185"/>
      <c r="U102" s="185"/>
      <c r="V102" s="189">
        <v>0</v>
      </c>
      <c r="W102" s="190">
        <v>0</v>
      </c>
      <c r="X102" s="191"/>
      <c r="Y102" s="216"/>
      <c r="Z102" s="192"/>
      <c r="AA102" s="97">
        <v>0</v>
      </c>
      <c r="AB102" s="193">
        <v>0</v>
      </c>
      <c r="AC102" s="123"/>
      <c r="AD102" s="4"/>
      <c r="AE102" s="4"/>
      <c r="AF102" s="4"/>
      <c r="AG102" s="4"/>
      <c r="AH102" s="4"/>
      <c r="AI102" s="4" t="str">
        <f>"" &amp; TEXT(AB102,"#0.00%") &amp; " " &amp; "소개페이지" &amp; " " &amp; IF(M102="","",TEXT(M102,"M/D-")) &amp; IF(N102="","",TEXT(N102,"M/D")) &amp; " "</f>
        <v xml:space="preserve">0.00% 소개페이지 3/31-4/1 </v>
      </c>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row>
    <row r="103" spans="1:161" outlineLevel="5">
      <c r="A103" s="116"/>
      <c r="B103" s="116"/>
      <c r="C103" s="116">
        <v>6</v>
      </c>
      <c r="D103" s="3" t="s">
        <v>1369</v>
      </c>
      <c r="E103" s="184"/>
      <c r="F103" s="184"/>
      <c r="G103" s="184"/>
      <c r="H103" s="184"/>
      <c r="I103" s="217"/>
      <c r="J103" s="184" t="s">
        <v>1357</v>
      </c>
      <c r="K103" s="184"/>
      <c r="L103" s="184"/>
      <c r="M103" s="185">
        <v>43555</v>
      </c>
      <c r="N103" s="185">
        <v>43555</v>
      </c>
      <c r="O103" s="186"/>
      <c r="P103" s="187">
        <v>1</v>
      </c>
      <c r="Q103" s="187">
        <v>0</v>
      </c>
      <c r="R103" s="188">
        <v>1</v>
      </c>
      <c r="S103" s="188">
        <v>0</v>
      </c>
      <c r="T103" s="185"/>
      <c r="U103" s="185"/>
      <c r="V103" s="189"/>
      <c r="W103" s="190">
        <v>0</v>
      </c>
      <c r="X103" s="191">
        <v>1</v>
      </c>
      <c r="Y103" s="216" t="s">
        <v>1128</v>
      </c>
      <c r="Z103" s="192"/>
      <c r="AA103" s="97">
        <v>0</v>
      </c>
      <c r="AB103" s="193">
        <v>0</v>
      </c>
      <c r="AC103" s="123"/>
      <c r="AD103" s="4"/>
      <c r="AE103" s="4"/>
      <c r="AF103" s="4"/>
      <c r="AG103" s="4"/>
      <c r="AH103" s="4"/>
      <c r="AI103" s="4" t="str">
        <f>"" &amp; TEXT(AB103,"#0.00%") &amp; " " &amp; "소개페이지 메인 구현" &amp; "(김보령)" &amp; " " &amp; IF(M103="","",TEXT(M103,"M/D-")) &amp; IF(N103="","",TEXT(N103,"M/D")) &amp; " "</f>
        <v xml:space="preserve">0.00% 소개페이지 메인 구현(김보령) 3/31-3/31 </v>
      </c>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row>
    <row r="104" spans="1:161" outlineLevel="5">
      <c r="A104" s="116"/>
      <c r="B104" s="116"/>
      <c r="C104" s="116">
        <v>6</v>
      </c>
      <c r="D104" s="3" t="s">
        <v>1370</v>
      </c>
      <c r="E104" s="184"/>
      <c r="F104" s="184"/>
      <c r="G104" s="184"/>
      <c r="H104" s="184"/>
      <c r="I104" s="217"/>
      <c r="J104" s="184" t="s">
        <v>1358</v>
      </c>
      <c r="K104" s="184"/>
      <c r="L104" s="184"/>
      <c r="M104" s="185">
        <v>43556</v>
      </c>
      <c r="N104" s="185">
        <v>43556</v>
      </c>
      <c r="O104" s="186"/>
      <c r="P104" s="187">
        <v>1</v>
      </c>
      <c r="Q104" s="187">
        <v>0</v>
      </c>
      <c r="R104" s="188">
        <v>1</v>
      </c>
      <c r="S104" s="188">
        <v>0</v>
      </c>
      <c r="T104" s="185"/>
      <c r="U104" s="185"/>
      <c r="V104" s="189"/>
      <c r="W104" s="190">
        <v>0</v>
      </c>
      <c r="X104" s="191">
        <v>1</v>
      </c>
      <c r="Y104" s="216" t="s">
        <v>1128</v>
      </c>
      <c r="Z104" s="192"/>
      <c r="AA104" s="97">
        <v>0</v>
      </c>
      <c r="AB104" s="193">
        <v>0</v>
      </c>
      <c r="AC104" s="123"/>
      <c r="AD104" s="4"/>
      <c r="AE104" s="4"/>
      <c r="AF104" s="4"/>
      <c r="AG104" s="4"/>
      <c r="AH104" s="4"/>
      <c r="AI104" s="4" t="str">
        <f>" " &amp; TEXT(AB104,"#0.00%") &amp; " " &amp; "소개페이지 하단 구현" &amp; "(김보령)" &amp; " " &amp; IF(M104="","",TEXT(M104,"M/D-")) &amp; IF(N104="","",TEXT(N104,"M/D")) &amp; " "</f>
        <v xml:space="preserve"> 0.00% 소개페이지 하단 구현(김보령) 4/1-4/1 </v>
      </c>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row>
    <row r="105" spans="1:161" outlineLevel="4">
      <c r="A105" s="116"/>
      <c r="B105" s="116" t="s">
        <v>1071</v>
      </c>
      <c r="C105" s="116">
        <v>5</v>
      </c>
      <c r="D105" s="3" t="s">
        <v>1214</v>
      </c>
      <c r="E105" s="184"/>
      <c r="F105" s="184"/>
      <c r="G105" s="184"/>
      <c r="H105" s="184"/>
      <c r="I105" s="217" t="s">
        <v>1210</v>
      </c>
      <c r="J105" s="184"/>
      <c r="K105" s="184"/>
      <c r="L105" s="184"/>
      <c r="M105" s="185">
        <v>43557</v>
      </c>
      <c r="N105" s="185">
        <v>43566</v>
      </c>
      <c r="O105" s="186"/>
      <c r="P105" s="187">
        <v>10</v>
      </c>
      <c r="Q105" s="187">
        <v>0</v>
      </c>
      <c r="R105" s="188">
        <v>10</v>
      </c>
      <c r="S105" s="188">
        <v>0</v>
      </c>
      <c r="T105" s="185"/>
      <c r="U105" s="185"/>
      <c r="V105" s="189">
        <v>0</v>
      </c>
      <c r="W105" s="190">
        <v>0</v>
      </c>
      <c r="X105" s="191"/>
      <c r="Y105" s="216"/>
      <c r="Z105" s="192"/>
      <c r="AA105" s="97">
        <v>0</v>
      </c>
      <c r="AB105" s="193">
        <v>0.25</v>
      </c>
      <c r="AC105" s="123"/>
      <c r="AD105" s="4"/>
      <c r="AE105" s="4"/>
      <c r="AF105" s="4"/>
      <c r="AG105" s="4"/>
      <c r="AH105" s="4"/>
      <c r="AI105" s="4" t="str">
        <f>"    " &amp; TEXT(AB105,"#0.00%") &amp; " " &amp; "편집 툴" &amp; " " &amp; IF(M105="","",TEXT(M105,"M/D-")) &amp; IF(N105="","",TEXT(N105,"M/D")) &amp; " "</f>
        <v xml:space="preserve">    25.00% 편집 툴 4/2-4/11 </v>
      </c>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row>
    <row r="106" spans="1:161" outlineLevel="5">
      <c r="A106" s="116"/>
      <c r="B106" s="116"/>
      <c r="C106" s="116">
        <v>6</v>
      </c>
      <c r="D106" s="3" t="s">
        <v>1371</v>
      </c>
      <c r="E106" s="184"/>
      <c r="F106" s="184"/>
      <c r="G106" s="184"/>
      <c r="H106" s="184"/>
      <c r="I106" s="217"/>
      <c r="J106" s="184" t="s">
        <v>1359</v>
      </c>
      <c r="K106" s="184"/>
      <c r="L106" s="184"/>
      <c r="M106" s="185">
        <v>43557</v>
      </c>
      <c r="N106" s="185">
        <v>43559</v>
      </c>
      <c r="O106" s="186"/>
      <c r="P106" s="187">
        <v>3</v>
      </c>
      <c r="Q106" s="187">
        <v>0</v>
      </c>
      <c r="R106" s="188">
        <v>3</v>
      </c>
      <c r="S106" s="188">
        <v>0</v>
      </c>
      <c r="T106" s="185"/>
      <c r="U106" s="185"/>
      <c r="V106" s="189"/>
      <c r="W106" s="190">
        <v>0</v>
      </c>
      <c r="X106" s="191">
        <v>1</v>
      </c>
      <c r="Y106" s="216" t="s">
        <v>1128</v>
      </c>
      <c r="Z106" s="192"/>
      <c r="AA106" s="97">
        <v>0</v>
      </c>
      <c r="AB106" s="193">
        <v>0.5</v>
      </c>
      <c r="AC106" s="123"/>
      <c r="AD106" s="4"/>
      <c r="AE106" s="4"/>
      <c r="AF106" s="4"/>
      <c r="AG106" s="4"/>
      <c r="AH106" s="4"/>
      <c r="AI106" s="4" t="str">
        <f>"    " &amp; TEXT(AB106,"#0.00%") &amp; " " &amp; "음원페이지 메인 구현" &amp; "(김보령)" &amp; " " &amp; IF(M106="","",TEXT(M106,"M/D-")) &amp; IF(N106="","",TEXT(N106,"M/D")) &amp; " "</f>
        <v xml:space="preserve">    50.00% 음원페이지 메인 구현(김보령) 4/2-4/4 </v>
      </c>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row>
    <row r="107" spans="1:161" outlineLevel="5">
      <c r="A107" s="116"/>
      <c r="B107" s="116"/>
      <c r="C107" s="116">
        <v>6</v>
      </c>
      <c r="D107" s="3" t="s">
        <v>1372</v>
      </c>
      <c r="E107" s="184"/>
      <c r="F107" s="184"/>
      <c r="G107" s="184"/>
      <c r="H107" s="184"/>
      <c r="I107" s="217"/>
      <c r="J107" s="184" t="s">
        <v>1360</v>
      </c>
      <c r="K107" s="184"/>
      <c r="L107" s="184"/>
      <c r="M107" s="185">
        <v>43560</v>
      </c>
      <c r="N107" s="185">
        <v>43561</v>
      </c>
      <c r="O107" s="186"/>
      <c r="P107" s="187">
        <v>2</v>
      </c>
      <c r="Q107" s="187">
        <v>0</v>
      </c>
      <c r="R107" s="188">
        <v>2</v>
      </c>
      <c r="S107" s="188">
        <v>0</v>
      </c>
      <c r="T107" s="185"/>
      <c r="U107" s="185"/>
      <c r="V107" s="189"/>
      <c r="W107" s="190">
        <v>0</v>
      </c>
      <c r="X107" s="191">
        <v>1</v>
      </c>
      <c r="Y107" s="216" t="s">
        <v>1128</v>
      </c>
      <c r="Z107" s="192"/>
      <c r="AA107" s="97">
        <v>0</v>
      </c>
      <c r="AB107" s="193">
        <v>0.5</v>
      </c>
      <c r="AC107" s="123"/>
      <c r="AD107" s="4"/>
      <c r="AE107" s="4"/>
      <c r="AF107" s="4"/>
      <c r="AG107" s="4"/>
      <c r="AH107" s="4"/>
      <c r="AI107" s="4" t="str">
        <f>"      " &amp; TEXT(AB107,"#0.00%") &amp; " " &amp; "음원 절개선 표시 구현" &amp; "(김보령)" &amp; " " &amp; IF(M107="","",TEXT(M107,"M/D-")) &amp; IF(N107="","",TEXT(N107,"M/D")) &amp; " "</f>
        <v xml:space="preserve">      50.00% 음원 절개선 표시 구현(김보령) 4/5-4/6 </v>
      </c>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row>
    <row r="108" spans="1:161" outlineLevel="5">
      <c r="A108" s="116"/>
      <c r="B108" s="116"/>
      <c r="C108" s="116">
        <v>6</v>
      </c>
      <c r="D108" s="3" t="s">
        <v>1373</v>
      </c>
      <c r="E108" s="184"/>
      <c r="F108" s="184"/>
      <c r="G108" s="184"/>
      <c r="H108" s="184"/>
      <c r="I108" s="217"/>
      <c r="J108" s="184" t="s">
        <v>1361</v>
      </c>
      <c r="K108" s="184"/>
      <c r="L108" s="184"/>
      <c r="M108" s="185">
        <v>43562</v>
      </c>
      <c r="N108" s="185">
        <v>43563</v>
      </c>
      <c r="O108" s="186"/>
      <c r="P108" s="187">
        <v>2</v>
      </c>
      <c r="Q108" s="187">
        <v>0</v>
      </c>
      <c r="R108" s="188">
        <v>2</v>
      </c>
      <c r="S108" s="188">
        <v>0</v>
      </c>
      <c r="T108" s="185"/>
      <c r="U108" s="185"/>
      <c r="V108" s="189"/>
      <c r="W108" s="190">
        <v>0</v>
      </c>
      <c r="X108" s="191">
        <v>1</v>
      </c>
      <c r="Y108" s="216" t="s">
        <v>1128</v>
      </c>
      <c r="Z108" s="192"/>
      <c r="AA108" s="97">
        <v>0</v>
      </c>
      <c r="AB108" s="193">
        <v>0</v>
      </c>
      <c r="AC108" s="123"/>
      <c r="AD108" s="4"/>
      <c r="AE108" s="4"/>
      <c r="AF108" s="4"/>
      <c r="AG108" s="4"/>
      <c r="AH108" s="4"/>
      <c r="AI108" s="4"/>
      <c r="AJ108" s="4" t="str">
        <f>"" &amp; TEXT(AB108,"#0.00%") &amp; " " &amp; "저장 및 로그인 구현" &amp; "(김보령)" &amp; " " &amp; IF(M108="","",TEXT(M108,"M/D-")) &amp; IF(N108="","",TEXT(N108,"M/D")) &amp; " "</f>
        <v xml:space="preserve">0.00% 저장 및 로그인 구현(김보령) 4/7-4/8 </v>
      </c>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row>
    <row r="109" spans="1:161" outlineLevel="5">
      <c r="A109" s="116"/>
      <c r="B109" s="116"/>
      <c r="C109" s="116">
        <v>6</v>
      </c>
      <c r="D109" s="3" t="s">
        <v>1374</v>
      </c>
      <c r="E109" s="184"/>
      <c r="F109" s="184"/>
      <c r="G109" s="184"/>
      <c r="H109" s="184"/>
      <c r="I109" s="217"/>
      <c r="J109" s="184" t="s">
        <v>1362</v>
      </c>
      <c r="K109" s="184"/>
      <c r="L109" s="184"/>
      <c r="M109" s="185">
        <v>43564</v>
      </c>
      <c r="N109" s="185">
        <v>43566</v>
      </c>
      <c r="O109" s="186"/>
      <c r="P109" s="187">
        <v>3</v>
      </c>
      <c r="Q109" s="187">
        <v>0</v>
      </c>
      <c r="R109" s="188">
        <v>3</v>
      </c>
      <c r="S109" s="188">
        <v>0</v>
      </c>
      <c r="T109" s="185"/>
      <c r="U109" s="185"/>
      <c r="V109" s="189"/>
      <c r="W109" s="190">
        <v>0</v>
      </c>
      <c r="X109" s="191">
        <v>1</v>
      </c>
      <c r="Y109" s="216" t="s">
        <v>1128</v>
      </c>
      <c r="Z109" s="192"/>
      <c r="AA109" s="97">
        <v>0</v>
      </c>
      <c r="AB109" s="193">
        <v>0</v>
      </c>
      <c r="AC109" s="123"/>
      <c r="AD109" s="4"/>
      <c r="AE109" s="4"/>
      <c r="AF109" s="4"/>
      <c r="AG109" s="4"/>
      <c r="AH109" s="4"/>
      <c r="AI109" s="4"/>
      <c r="AJ109" s="4" t="str">
        <f>"  " &amp; TEXT(AB109,"#0.00%") &amp; " " &amp; "마이페이지 구현" &amp; "(김보령)" &amp; " " &amp; IF(M109="","",TEXT(M109,"M/D-")) &amp; IF(N109="","",TEXT(N109,"M/D")) &amp; " "</f>
        <v xml:space="preserve">  0.00% 마이페이지 구현(김보령) 4/9-4/11 </v>
      </c>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row>
    <row r="110" spans="1:161" outlineLevel="4">
      <c r="A110" s="116"/>
      <c r="B110" s="116" t="s">
        <v>1071</v>
      </c>
      <c r="C110" s="116">
        <v>5</v>
      </c>
      <c r="D110" s="3" t="s">
        <v>1387</v>
      </c>
      <c r="E110" s="184"/>
      <c r="F110" s="184"/>
      <c r="G110" s="184"/>
      <c r="H110" s="184"/>
      <c r="I110" s="217" t="s">
        <v>1211</v>
      </c>
      <c r="J110" s="184"/>
      <c r="K110" s="184"/>
      <c r="L110" s="184"/>
      <c r="M110" s="185">
        <v>43570</v>
      </c>
      <c r="N110" s="185">
        <v>43579</v>
      </c>
      <c r="O110" s="186"/>
      <c r="P110" s="187">
        <v>9</v>
      </c>
      <c r="Q110" s="187">
        <v>0</v>
      </c>
      <c r="R110" s="188">
        <v>10</v>
      </c>
      <c r="S110" s="188">
        <v>0</v>
      </c>
      <c r="T110" s="185"/>
      <c r="U110" s="185"/>
      <c r="V110" s="189">
        <v>0</v>
      </c>
      <c r="W110" s="190">
        <v>0</v>
      </c>
      <c r="X110" s="191"/>
      <c r="Y110" s="216"/>
      <c r="Z110" s="192"/>
      <c r="AA110" s="97">
        <v>0</v>
      </c>
      <c r="AB110" s="193">
        <v>0</v>
      </c>
      <c r="AC110" s="123"/>
      <c r="AD110" s="4"/>
      <c r="AE110" s="4"/>
      <c r="AF110" s="4"/>
      <c r="AG110" s="4"/>
      <c r="AH110" s="4"/>
      <c r="AI110" s="4"/>
      <c r="AJ110" s="4"/>
      <c r="AK110" s="4" t="str">
        <f>" " &amp; TEXT(AB110,"#0.00%") &amp; " " &amp; "스토어" &amp; " " &amp; IF(M110="","",TEXT(M110,"M/D-")) &amp; IF(N110="","",TEXT(N110,"M/D")) &amp; " "</f>
        <v xml:space="preserve"> 0.00% 스토어 4/15-4/24 </v>
      </c>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c r="EY110" s="4"/>
      <c r="EZ110" s="4"/>
      <c r="FA110" s="4"/>
      <c r="FB110" s="4"/>
      <c r="FC110" s="4"/>
      <c r="FD110" s="4"/>
      <c r="FE110" s="4"/>
    </row>
    <row r="111" spans="1:161" outlineLevel="5">
      <c r="A111" s="116"/>
      <c r="B111" s="116"/>
      <c r="C111" s="116">
        <v>6</v>
      </c>
      <c r="D111" s="3" t="s">
        <v>1388</v>
      </c>
      <c r="E111" s="184"/>
      <c r="F111" s="184"/>
      <c r="G111" s="184"/>
      <c r="H111" s="184"/>
      <c r="I111" s="217"/>
      <c r="J111" s="184" t="s">
        <v>1363</v>
      </c>
      <c r="K111" s="184"/>
      <c r="L111" s="184"/>
      <c r="M111" s="185">
        <v>43570</v>
      </c>
      <c r="N111" s="185">
        <v>43572</v>
      </c>
      <c r="O111" s="186"/>
      <c r="P111" s="187">
        <v>3</v>
      </c>
      <c r="Q111" s="187">
        <v>0</v>
      </c>
      <c r="R111" s="188">
        <v>3</v>
      </c>
      <c r="S111" s="188">
        <v>0</v>
      </c>
      <c r="T111" s="185"/>
      <c r="U111" s="185"/>
      <c r="V111" s="189"/>
      <c r="W111" s="190">
        <v>0</v>
      </c>
      <c r="X111" s="191">
        <v>1</v>
      </c>
      <c r="Y111" s="216" t="s">
        <v>1128</v>
      </c>
      <c r="Z111" s="192"/>
      <c r="AA111" s="97">
        <v>0</v>
      </c>
      <c r="AB111" s="193">
        <v>0</v>
      </c>
      <c r="AC111" s="123"/>
      <c r="AD111" s="4"/>
      <c r="AE111" s="4"/>
      <c r="AF111" s="4"/>
      <c r="AG111" s="4"/>
      <c r="AH111" s="4"/>
      <c r="AI111" s="4"/>
      <c r="AJ111" s="4"/>
      <c r="AK111" s="4" t="str">
        <f>" " &amp; TEXT(AB111,"#0.00%") &amp; " " &amp; "주문 및 주문확인 페이지 구현" &amp; "(김보령)" &amp; " " &amp; IF(M111="","",TEXT(M111,"M/D-")) &amp; IF(N111="","",TEXT(N111,"M/D")) &amp; " "</f>
        <v xml:space="preserve"> 0.00% 주문 및 주문확인 페이지 구현(김보령) 4/15-4/17 </v>
      </c>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c r="EY111" s="4"/>
      <c r="EZ111" s="4"/>
      <c r="FA111" s="4"/>
      <c r="FB111" s="4"/>
      <c r="FC111" s="4"/>
      <c r="FD111" s="4"/>
      <c r="FE111" s="4"/>
    </row>
    <row r="112" spans="1:161" outlineLevel="5">
      <c r="A112" s="116"/>
      <c r="B112" s="116"/>
      <c r="C112" s="116">
        <v>6</v>
      </c>
      <c r="D112" s="3" t="s">
        <v>1389</v>
      </c>
      <c r="E112" s="184"/>
      <c r="F112" s="184"/>
      <c r="G112" s="184"/>
      <c r="H112" s="184"/>
      <c r="I112" s="217"/>
      <c r="J112" s="184" t="s">
        <v>1364</v>
      </c>
      <c r="K112" s="184"/>
      <c r="L112" s="184"/>
      <c r="M112" s="185">
        <v>43573</v>
      </c>
      <c r="N112" s="185">
        <v>43575</v>
      </c>
      <c r="O112" s="186"/>
      <c r="P112" s="187">
        <v>3</v>
      </c>
      <c r="Q112" s="187">
        <v>0</v>
      </c>
      <c r="R112" s="188">
        <v>3</v>
      </c>
      <c r="S112" s="188">
        <v>0</v>
      </c>
      <c r="T112" s="185"/>
      <c r="U112" s="185"/>
      <c r="V112" s="189"/>
      <c r="W112" s="190">
        <v>0</v>
      </c>
      <c r="X112" s="191">
        <v>1</v>
      </c>
      <c r="Y112" s="216" t="s">
        <v>1128</v>
      </c>
      <c r="Z112" s="192"/>
      <c r="AA112" s="97">
        <v>0</v>
      </c>
      <c r="AB112" s="193">
        <v>0</v>
      </c>
      <c r="AC112" s="123"/>
      <c r="AD112" s="4"/>
      <c r="AE112" s="4"/>
      <c r="AF112" s="4"/>
      <c r="AG112" s="4"/>
      <c r="AH112" s="4"/>
      <c r="AI112" s="4"/>
      <c r="AJ112" s="4"/>
      <c r="AK112" s="4" t="str">
        <f>"    " &amp; TEXT(AB112,"#0.00%") &amp; " " &amp; "배송확인 페이지 구현" &amp; "(김보령)" &amp; " " &amp; IF(M112="","",TEXT(M112,"M/D-")) &amp; IF(N112="","",TEXT(N112,"M/D")) &amp; " "</f>
        <v xml:space="preserve">    0.00% 배송확인 페이지 구현(김보령) 4/18-4/20 </v>
      </c>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c r="EY112" s="4"/>
      <c r="EZ112" s="4"/>
      <c r="FA112" s="4"/>
      <c r="FB112" s="4"/>
      <c r="FC112" s="4"/>
      <c r="FD112" s="4"/>
      <c r="FE112" s="4"/>
    </row>
    <row r="113" spans="1:161" outlineLevel="5">
      <c r="A113" s="116"/>
      <c r="B113" s="116"/>
      <c r="C113" s="116">
        <v>6</v>
      </c>
      <c r="D113" s="3" t="s">
        <v>1390</v>
      </c>
      <c r="E113" s="184"/>
      <c r="F113" s="184"/>
      <c r="G113" s="184"/>
      <c r="H113" s="184"/>
      <c r="I113" s="217"/>
      <c r="J113" s="184" t="s">
        <v>1362</v>
      </c>
      <c r="K113" s="184"/>
      <c r="L113" s="184"/>
      <c r="M113" s="185">
        <v>43577</v>
      </c>
      <c r="N113" s="185">
        <v>43579</v>
      </c>
      <c r="O113" s="186"/>
      <c r="P113" s="187">
        <v>3</v>
      </c>
      <c r="Q113" s="187">
        <v>0</v>
      </c>
      <c r="R113" s="188">
        <v>3</v>
      </c>
      <c r="S113" s="188">
        <v>0</v>
      </c>
      <c r="T113" s="185"/>
      <c r="U113" s="185"/>
      <c r="V113" s="189"/>
      <c r="W113" s="190">
        <v>0</v>
      </c>
      <c r="X113" s="191">
        <v>1</v>
      </c>
      <c r="Y113" s="216" t="s">
        <v>1128</v>
      </c>
      <c r="Z113" s="192"/>
      <c r="AA113" s="97">
        <v>0</v>
      </c>
      <c r="AB113" s="193">
        <v>0</v>
      </c>
      <c r="AC113" s="123"/>
      <c r="AD113" s="4"/>
      <c r="AE113" s="4"/>
      <c r="AF113" s="4"/>
      <c r="AG113" s="4"/>
      <c r="AH113" s="4"/>
      <c r="AI113" s="4"/>
      <c r="AJ113" s="4"/>
      <c r="AK113" s="4"/>
      <c r="AL113" s="4" t="str">
        <f>" " &amp; TEXT(AB113,"#0.00%") &amp; " " &amp; "마이페이지 구현" &amp; "(김보령)" &amp; " " &amp; IF(M113="","",TEXT(M113,"M/D-")) &amp; IF(N113="","",TEXT(N113,"M/D")) &amp; " "</f>
        <v xml:space="preserve"> 0.00% 마이페이지 구현(김보령) 4/22-4/24 </v>
      </c>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row>
    <row r="114" spans="1:161" outlineLevel="3">
      <c r="A114" s="116"/>
      <c r="B114" s="116" t="s">
        <v>1071</v>
      </c>
      <c r="C114" s="116">
        <v>4</v>
      </c>
      <c r="D114" s="219" t="s">
        <v>1156</v>
      </c>
      <c r="E114" s="220"/>
      <c r="F114" s="220"/>
      <c r="G114" s="220"/>
      <c r="H114" s="220" t="s">
        <v>1158</v>
      </c>
      <c r="I114" s="221"/>
      <c r="J114" s="220"/>
      <c r="K114" s="220"/>
      <c r="L114" s="220"/>
      <c r="M114" s="222">
        <v>43535</v>
      </c>
      <c r="N114" s="222">
        <v>43589</v>
      </c>
      <c r="O114" s="223"/>
      <c r="P114" s="224">
        <v>57</v>
      </c>
      <c r="Q114" s="224">
        <v>25</v>
      </c>
      <c r="R114" s="225">
        <v>55</v>
      </c>
      <c r="S114" s="225">
        <v>20</v>
      </c>
      <c r="T114" s="222"/>
      <c r="U114" s="222"/>
      <c r="V114" s="226">
        <v>0</v>
      </c>
      <c r="W114" s="227">
        <v>0</v>
      </c>
      <c r="X114" s="228"/>
      <c r="Y114" s="223"/>
      <c r="Z114" s="245"/>
      <c r="AA114" s="230">
        <v>0.43859649122807015</v>
      </c>
      <c r="AB114" s="231">
        <v>0.35087719298245612</v>
      </c>
      <c r="AC114" s="123"/>
      <c r="AD114" s="4"/>
      <c r="AE114" s="4"/>
      <c r="AF114" s="4"/>
      <c r="AG114" s="4"/>
      <c r="AH114" s="4" t="str">
        <f>"      " &amp; TEXT(AB114,"#0.00%") &amp; " "</f>
        <v xml:space="preserve">      35.09% </v>
      </c>
      <c r="AI114" s="4"/>
      <c r="AJ114" s="4"/>
      <c r="AK114" s="4"/>
      <c r="AL114" s="4"/>
      <c r="AM114" s="4"/>
      <c r="AN114" s="4" t="str">
        <f>"" &amp; "서버, DB" &amp; " " &amp; IF(M114="","",TEXT(M114,"M/D-")) &amp; IF(N114="","",TEXT(N114,"M/D")) &amp; " "</f>
        <v xml:space="preserve">서버, DB 3/11-5/4 </v>
      </c>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c r="EY114" s="4"/>
      <c r="EZ114" s="4"/>
      <c r="FA114" s="4"/>
      <c r="FB114" s="4"/>
      <c r="FC114" s="4"/>
      <c r="FD114" s="4"/>
      <c r="FE114" s="4"/>
    </row>
    <row r="115" spans="1:161" outlineLevel="4">
      <c r="A115" s="116"/>
      <c r="B115" s="116" t="s">
        <v>1071</v>
      </c>
      <c r="C115" s="116">
        <v>5</v>
      </c>
      <c r="D115" s="3" t="s">
        <v>1164</v>
      </c>
      <c r="E115" s="184"/>
      <c r="F115" s="184"/>
      <c r="G115" s="184"/>
      <c r="H115" s="184"/>
      <c r="I115" s="217" t="s">
        <v>1166</v>
      </c>
      <c r="J115" s="184"/>
      <c r="K115" s="184"/>
      <c r="L115" s="184"/>
      <c r="M115" s="185">
        <v>43535</v>
      </c>
      <c r="N115" s="185">
        <v>43546</v>
      </c>
      <c r="O115" s="186"/>
      <c r="P115" s="187">
        <v>11</v>
      </c>
      <c r="Q115" s="187">
        <v>11</v>
      </c>
      <c r="R115" s="188">
        <v>12</v>
      </c>
      <c r="S115" s="188">
        <v>12</v>
      </c>
      <c r="T115" s="185"/>
      <c r="U115" s="185"/>
      <c r="V115" s="189">
        <v>0</v>
      </c>
      <c r="W115" s="190">
        <v>0</v>
      </c>
      <c r="X115" s="191"/>
      <c r="Y115" s="216"/>
      <c r="Z115" s="192"/>
      <c r="AA115" s="97">
        <v>1</v>
      </c>
      <c r="AB115" s="193">
        <v>1</v>
      </c>
      <c r="AC115" s="123"/>
      <c r="AD115" s="4"/>
      <c r="AE115" s="4"/>
      <c r="AF115" s="4"/>
      <c r="AG115" s="4" t="str">
        <f>"      " &amp; TEXT(AB115,"#0.00%") &amp; " " &amp; "서버구축(AWS)" &amp; " " &amp; IF(M115="","",TEXT(M115,"M/D-")) &amp; IF(N115="","",TEXT(N115,"M/D")) &amp; " "</f>
        <v xml:space="preserve">      100.00% 서버구축(AWS) 3/11-3/22 </v>
      </c>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c r="EY115" s="4"/>
      <c r="EZ115" s="4"/>
      <c r="FA115" s="4"/>
      <c r="FB115" s="4"/>
      <c r="FC115" s="4"/>
      <c r="FD115" s="4"/>
      <c r="FE115" s="4"/>
    </row>
    <row r="116" spans="1:161" outlineLevel="5">
      <c r="A116" s="116"/>
      <c r="B116" s="116"/>
      <c r="C116" s="116">
        <v>6</v>
      </c>
      <c r="D116" s="3" t="s">
        <v>1306</v>
      </c>
      <c r="E116" s="184"/>
      <c r="F116" s="184"/>
      <c r="G116" s="184"/>
      <c r="H116" s="184"/>
      <c r="I116" s="217"/>
      <c r="J116" s="184" t="s">
        <v>1302</v>
      </c>
      <c r="K116" s="184"/>
      <c r="L116" s="184" t="s">
        <v>1303</v>
      </c>
      <c r="M116" s="247">
        <v>43535</v>
      </c>
      <c r="N116" s="247">
        <v>43535</v>
      </c>
      <c r="O116" s="186"/>
      <c r="P116" s="187">
        <v>1</v>
      </c>
      <c r="Q116" s="187">
        <v>1</v>
      </c>
      <c r="R116" s="188">
        <v>1</v>
      </c>
      <c r="S116" s="188">
        <v>1</v>
      </c>
      <c r="T116" s="185"/>
      <c r="U116" s="185"/>
      <c r="V116" s="189"/>
      <c r="W116" s="190">
        <v>0</v>
      </c>
      <c r="X116" s="191">
        <v>1</v>
      </c>
      <c r="Y116" s="216" t="s">
        <v>1125</v>
      </c>
      <c r="Z116" s="192"/>
      <c r="AA116" s="97">
        <v>1</v>
      </c>
      <c r="AB116" s="193">
        <v>1</v>
      </c>
      <c r="AC116" s="123"/>
      <c r="AD116" s="4"/>
      <c r="AE116" s="4"/>
      <c r="AF116" s="4" t="str">
        <f>"  " &amp; TEXT(AB116,"#0.00%") &amp; " " &amp; "EC2 인스턴스 생성" &amp; "(류경호)" &amp; " " &amp; IF(M116="","",TEXT(M116,"M/D-")) &amp; IF(N116="","",TEXT(N116,"M/D")) &amp; " "</f>
        <v xml:space="preserve">  100.00% EC2 인스턴스 생성(류경호) 3/11-3/11 </v>
      </c>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row>
    <row r="117" spans="1:161" outlineLevel="5">
      <c r="A117" s="116"/>
      <c r="B117" s="116"/>
      <c r="C117" s="116">
        <v>6</v>
      </c>
      <c r="D117" s="3" t="s">
        <v>1307</v>
      </c>
      <c r="E117" s="184"/>
      <c r="F117" s="184"/>
      <c r="G117" s="184"/>
      <c r="H117" s="184"/>
      <c r="I117" s="217"/>
      <c r="J117" s="184" t="s">
        <v>1304</v>
      </c>
      <c r="K117" s="184"/>
      <c r="L117" s="184" t="s">
        <v>1305</v>
      </c>
      <c r="M117" s="247">
        <v>43535</v>
      </c>
      <c r="N117" s="247">
        <v>43535</v>
      </c>
      <c r="O117" s="186"/>
      <c r="P117" s="187">
        <v>1</v>
      </c>
      <c r="Q117" s="187">
        <v>1</v>
      </c>
      <c r="R117" s="188">
        <v>1</v>
      </c>
      <c r="S117" s="188">
        <v>1</v>
      </c>
      <c r="T117" s="185"/>
      <c r="U117" s="185"/>
      <c r="V117" s="189"/>
      <c r="W117" s="190">
        <v>0</v>
      </c>
      <c r="X117" s="191">
        <v>1</v>
      </c>
      <c r="Y117" s="216" t="s">
        <v>1125</v>
      </c>
      <c r="Z117" s="192"/>
      <c r="AA117" s="97">
        <v>1</v>
      </c>
      <c r="AB117" s="193">
        <v>1</v>
      </c>
      <c r="AC117" s="123"/>
      <c r="AD117" s="4"/>
      <c r="AE117" s="4"/>
      <c r="AF117" s="4" t="str">
        <f>"  " &amp; TEXT(AB117,"#0.00%") &amp; " " &amp; "개발환경 구축" &amp; "(류경호)" &amp; " " &amp; IF(M117="","",TEXT(M117,"M/D-")) &amp; IF(N117="","",TEXT(N117,"M/D")) &amp; " "</f>
        <v xml:space="preserve">  100.00% 개발환경 구축(류경호) 3/11-3/11 </v>
      </c>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c r="EY117" s="4"/>
      <c r="EZ117" s="4"/>
      <c r="FA117" s="4"/>
      <c r="FB117" s="4"/>
      <c r="FC117" s="4"/>
      <c r="FD117" s="4"/>
      <c r="FE117" s="4"/>
    </row>
    <row r="118" spans="1:161" outlineLevel="5">
      <c r="A118" s="116"/>
      <c r="B118" s="116"/>
      <c r="C118" s="116">
        <v>6</v>
      </c>
      <c r="D118" s="3" t="s">
        <v>1332</v>
      </c>
      <c r="E118" s="184"/>
      <c r="F118" s="184"/>
      <c r="G118" s="184"/>
      <c r="H118" s="184"/>
      <c r="I118" s="184"/>
      <c r="J118" s="184" t="s">
        <v>1308</v>
      </c>
      <c r="K118" s="184"/>
      <c r="L118" s="184" t="s">
        <v>1309</v>
      </c>
      <c r="M118" s="185">
        <v>43544</v>
      </c>
      <c r="N118" s="185">
        <v>43546</v>
      </c>
      <c r="O118" s="186"/>
      <c r="P118" s="187">
        <v>3</v>
      </c>
      <c r="Q118" s="187">
        <v>3</v>
      </c>
      <c r="R118" s="188">
        <v>3</v>
      </c>
      <c r="S118" s="188">
        <v>3</v>
      </c>
      <c r="T118" s="185"/>
      <c r="U118" s="185"/>
      <c r="V118" s="189"/>
      <c r="W118" s="190">
        <v>0</v>
      </c>
      <c r="X118" s="191">
        <v>1</v>
      </c>
      <c r="Y118" s="216" t="s">
        <v>1125</v>
      </c>
      <c r="Z118" s="192"/>
      <c r="AA118" s="97">
        <v>1</v>
      </c>
      <c r="AB118" s="193">
        <v>1</v>
      </c>
      <c r="AC118" s="123"/>
      <c r="AD118" s="4"/>
      <c r="AE118" s="4"/>
      <c r="AF118" s="4"/>
      <c r="AG118" s="4" t="str">
        <f>"      " &amp; TEXT(AB118,"#0.00%") &amp; " " &amp; "스키마 생성" &amp; "(류경호)" &amp; " " &amp; IF(M118="","",TEXT(M118,"M/D-")) &amp; IF(N118="","",TEXT(N118,"M/D")) &amp; " "</f>
        <v xml:space="preserve">      100.00% 스키마 생성(류경호) 3/20-3/22 </v>
      </c>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c r="EY118" s="4"/>
      <c r="EZ118" s="4"/>
      <c r="FA118" s="4"/>
      <c r="FB118" s="4"/>
      <c r="FC118" s="4"/>
      <c r="FD118" s="4"/>
      <c r="FE118" s="4"/>
    </row>
    <row r="119" spans="1:161" outlineLevel="5">
      <c r="A119" s="116"/>
      <c r="B119" s="116"/>
      <c r="C119" s="116">
        <v>6</v>
      </c>
      <c r="D119" s="3" t="s">
        <v>1333</v>
      </c>
      <c r="E119" s="184"/>
      <c r="F119" s="184"/>
      <c r="G119" s="184"/>
      <c r="H119" s="184"/>
      <c r="I119" s="184"/>
      <c r="J119" s="184" t="s">
        <v>1310</v>
      </c>
      <c r="K119" s="184"/>
      <c r="L119" s="184"/>
      <c r="M119" s="185">
        <v>43544</v>
      </c>
      <c r="N119" s="185">
        <v>43546</v>
      </c>
      <c r="O119" s="186"/>
      <c r="P119" s="187">
        <v>3</v>
      </c>
      <c r="Q119" s="187">
        <v>3</v>
      </c>
      <c r="R119" s="188">
        <v>3</v>
      </c>
      <c r="S119" s="188">
        <v>3</v>
      </c>
      <c r="T119" s="185"/>
      <c r="U119" s="185"/>
      <c r="V119" s="189"/>
      <c r="W119" s="190">
        <v>0</v>
      </c>
      <c r="X119" s="191">
        <v>1</v>
      </c>
      <c r="Y119" s="216" t="s">
        <v>1391</v>
      </c>
      <c r="Z119" s="192"/>
      <c r="AA119" s="97">
        <v>1</v>
      </c>
      <c r="AB119" s="193">
        <v>1</v>
      </c>
      <c r="AC119" s="123"/>
      <c r="AD119" s="4"/>
      <c r="AE119" s="4"/>
      <c r="AF119" s="4"/>
      <c r="AG119" s="4" t="str">
        <f>"      " &amp; TEXT(AB119,"#0.00%") &amp; " " &amp; "모델 생성" &amp; "(류경호, 송주헌)" &amp; " " &amp; IF(M119="","",TEXT(M119,"M/D-")) &amp; IF(N119="","",TEXT(N119,"M/D")) &amp; " "</f>
        <v xml:space="preserve">      100.00% 모델 생성(류경호, 송주헌) 3/20-3/22 </v>
      </c>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c r="EY119" s="4"/>
      <c r="EZ119" s="4"/>
      <c r="FA119" s="4"/>
      <c r="FB119" s="4"/>
      <c r="FC119" s="4"/>
      <c r="FD119" s="4"/>
      <c r="FE119" s="4"/>
    </row>
    <row r="120" spans="1:161" outlineLevel="5">
      <c r="A120" s="116"/>
      <c r="B120" s="116"/>
      <c r="C120" s="116">
        <v>6</v>
      </c>
      <c r="D120" s="3" t="s">
        <v>1334</v>
      </c>
      <c r="E120" s="184"/>
      <c r="F120" s="184"/>
      <c r="G120" s="184"/>
      <c r="H120" s="184"/>
      <c r="I120" s="184"/>
      <c r="J120" s="184" t="s">
        <v>1311</v>
      </c>
      <c r="K120" s="184"/>
      <c r="L120" s="184"/>
      <c r="M120" s="185">
        <v>43544</v>
      </c>
      <c r="N120" s="185">
        <v>43546</v>
      </c>
      <c r="O120" s="186"/>
      <c r="P120" s="187">
        <v>3</v>
      </c>
      <c r="Q120" s="187">
        <v>3</v>
      </c>
      <c r="R120" s="188">
        <v>3</v>
      </c>
      <c r="S120" s="188">
        <v>3</v>
      </c>
      <c r="T120" s="185"/>
      <c r="U120" s="185"/>
      <c r="V120" s="189"/>
      <c r="W120" s="190">
        <v>0</v>
      </c>
      <c r="X120" s="191">
        <v>1</v>
      </c>
      <c r="Y120" s="216" t="s">
        <v>1391</v>
      </c>
      <c r="Z120" s="192"/>
      <c r="AA120" s="97">
        <v>1</v>
      </c>
      <c r="AB120" s="193">
        <v>1</v>
      </c>
      <c r="AC120" s="123"/>
      <c r="AD120" s="4"/>
      <c r="AE120" s="4"/>
      <c r="AF120" s="4"/>
      <c r="AG120" s="4" t="str">
        <f>"      " &amp; TEXT(AB120,"#0.00%") &amp; " " &amp; "관계정의" &amp; "(류경호, 송주헌)" &amp; " " &amp; IF(M120="","",TEXT(M120,"M/D-")) &amp; IF(N120="","",TEXT(N120,"M/D")) &amp; " "</f>
        <v xml:space="preserve">      100.00% 관계정의(류경호, 송주헌) 3/20-3/22 </v>
      </c>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c r="EY120" s="4"/>
      <c r="EZ120" s="4"/>
      <c r="FA120" s="4"/>
      <c r="FB120" s="4"/>
      <c r="FC120" s="4"/>
      <c r="FD120" s="4"/>
      <c r="FE120" s="4"/>
    </row>
    <row r="121" spans="1:161" outlineLevel="4">
      <c r="A121" s="116"/>
      <c r="B121" s="116" t="s">
        <v>1071</v>
      </c>
      <c r="C121" s="116">
        <v>5</v>
      </c>
      <c r="D121" s="3" t="s">
        <v>1335</v>
      </c>
      <c r="E121" s="184"/>
      <c r="F121" s="184"/>
      <c r="G121" s="184"/>
      <c r="H121" s="184"/>
      <c r="I121" s="184" t="s">
        <v>1312</v>
      </c>
      <c r="J121" s="184"/>
      <c r="K121" s="184"/>
      <c r="L121" s="184"/>
      <c r="M121" s="185">
        <v>43549</v>
      </c>
      <c r="N121" s="185">
        <v>43555</v>
      </c>
      <c r="O121" s="186"/>
      <c r="P121" s="187">
        <v>7</v>
      </c>
      <c r="Q121" s="187">
        <v>6</v>
      </c>
      <c r="R121" s="188">
        <v>7</v>
      </c>
      <c r="S121" s="188">
        <v>6</v>
      </c>
      <c r="T121" s="185"/>
      <c r="U121" s="185"/>
      <c r="V121" s="189">
        <v>0</v>
      </c>
      <c r="W121" s="190">
        <v>0</v>
      </c>
      <c r="X121" s="191"/>
      <c r="Y121" s="216"/>
      <c r="Z121" s="192"/>
      <c r="AA121" s="97">
        <v>0.8571428571428571</v>
      </c>
      <c r="AB121" s="193">
        <v>0.14285714285714285</v>
      </c>
      <c r="AC121" s="123"/>
      <c r="AD121" s="4"/>
      <c r="AE121" s="4"/>
      <c r="AF121" s="4"/>
      <c r="AG121" s="4"/>
      <c r="AH121" s="4" t="str">
        <f>"  " &amp; TEXT(AB121,"#0.00%") &amp; " " &amp; "저장소 생성" &amp; " " &amp; IF(M121="","",TEXT(M121,"M/D-")) &amp; IF(N121="","",TEXT(N121,"M/D")) &amp; " "</f>
        <v xml:space="preserve">  14.29% 저장소 생성 3/25-3/31 </v>
      </c>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c r="EY121" s="4"/>
      <c r="EZ121" s="4"/>
      <c r="FA121" s="4"/>
      <c r="FB121" s="4"/>
      <c r="FC121" s="4"/>
      <c r="FD121" s="4"/>
      <c r="FE121" s="4"/>
    </row>
    <row r="122" spans="1:161" outlineLevel="5">
      <c r="A122" s="116"/>
      <c r="B122" s="116"/>
      <c r="C122" s="116">
        <v>6</v>
      </c>
      <c r="D122" s="3" t="s">
        <v>1336</v>
      </c>
      <c r="E122" s="184"/>
      <c r="F122" s="184"/>
      <c r="G122" s="184"/>
      <c r="H122" s="184"/>
      <c r="I122" s="184"/>
      <c r="J122" s="184" t="s">
        <v>1313</v>
      </c>
      <c r="K122" s="184"/>
      <c r="L122" s="184"/>
      <c r="M122" s="185">
        <v>43549</v>
      </c>
      <c r="N122" s="185">
        <v>43549</v>
      </c>
      <c r="O122" s="186"/>
      <c r="P122" s="187">
        <v>1</v>
      </c>
      <c r="Q122" s="187">
        <v>1</v>
      </c>
      <c r="R122" s="188">
        <v>1</v>
      </c>
      <c r="S122" s="188">
        <v>1</v>
      </c>
      <c r="T122" s="185"/>
      <c r="U122" s="185"/>
      <c r="V122" s="189"/>
      <c r="W122" s="190">
        <v>0</v>
      </c>
      <c r="X122" s="191">
        <v>1</v>
      </c>
      <c r="Y122" s="216" t="s">
        <v>1125</v>
      </c>
      <c r="Z122" s="192"/>
      <c r="AA122" s="97">
        <v>1</v>
      </c>
      <c r="AB122" s="193">
        <v>1</v>
      </c>
      <c r="AC122" s="123"/>
      <c r="AD122" s="4"/>
      <c r="AE122" s="4"/>
      <c r="AF122" s="4"/>
      <c r="AG122" s="4"/>
      <c r="AH122" s="4" t="str">
        <f>"  " &amp; TEXT(AB122,"#0.00%") &amp; " " &amp; "S3 버킷 생성" &amp; "(류경호)" &amp; " " &amp; IF(M122="","",TEXT(M122,"M/D-")) &amp; IF(N122="","",TEXT(N122,"M/D")) &amp; " "</f>
        <v xml:space="preserve">  100.00% S3 버킷 생성(류경호) 3/25-3/25 </v>
      </c>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4"/>
      <c r="EG122" s="4"/>
      <c r="EH122" s="4"/>
      <c r="EI122" s="4"/>
      <c r="EJ122" s="4"/>
      <c r="EK122" s="4"/>
      <c r="EL122" s="4"/>
      <c r="EM122" s="4"/>
      <c r="EN122" s="4"/>
      <c r="EO122" s="4"/>
      <c r="EP122" s="4"/>
      <c r="EQ122" s="4"/>
      <c r="ER122" s="4"/>
      <c r="ES122" s="4"/>
      <c r="ET122" s="4"/>
      <c r="EU122" s="4"/>
      <c r="EV122" s="4"/>
      <c r="EW122" s="4"/>
      <c r="EX122" s="4"/>
      <c r="EY122" s="4"/>
      <c r="EZ122" s="4"/>
      <c r="FA122" s="4"/>
      <c r="FB122" s="4"/>
      <c r="FC122" s="4"/>
      <c r="FD122" s="4"/>
      <c r="FE122" s="4"/>
    </row>
    <row r="123" spans="1:161" outlineLevel="5">
      <c r="A123" s="116"/>
      <c r="B123" s="116"/>
      <c r="C123" s="116">
        <v>6</v>
      </c>
      <c r="D123" s="3" t="s">
        <v>1337</v>
      </c>
      <c r="E123" s="184"/>
      <c r="F123" s="184"/>
      <c r="G123" s="184"/>
      <c r="H123" s="184"/>
      <c r="I123" s="184"/>
      <c r="J123" s="184" t="s">
        <v>1314</v>
      </c>
      <c r="K123" s="184"/>
      <c r="L123" s="184"/>
      <c r="M123" s="185">
        <v>43550</v>
      </c>
      <c r="N123" s="185">
        <v>43552</v>
      </c>
      <c r="O123" s="186"/>
      <c r="P123" s="187">
        <v>3</v>
      </c>
      <c r="Q123" s="187">
        <v>3</v>
      </c>
      <c r="R123" s="188">
        <v>3</v>
      </c>
      <c r="S123" s="188">
        <v>3</v>
      </c>
      <c r="T123" s="185"/>
      <c r="U123" s="185"/>
      <c r="V123" s="189"/>
      <c r="W123" s="190">
        <v>0</v>
      </c>
      <c r="X123" s="191">
        <v>1</v>
      </c>
      <c r="Y123" s="216" t="s">
        <v>1125</v>
      </c>
      <c r="Z123" s="192"/>
      <c r="AA123" s="97">
        <v>1</v>
      </c>
      <c r="AB123" s="193">
        <v>0</v>
      </c>
      <c r="AC123" s="123"/>
      <c r="AD123" s="4"/>
      <c r="AE123" s="4"/>
      <c r="AF123" s="4"/>
      <c r="AG123" s="4"/>
      <c r="AH123" s="4" t="str">
        <f>"  " &amp; TEXT(AB123,"#0.00%") &amp; " " &amp; "CloudFront 생성" &amp; "(류경호)" &amp; " " &amp; IF(M123="","",TEXT(M123,"M/D-")) &amp; IF(N123="","",TEXT(N123,"M/D")) &amp; " "</f>
        <v xml:space="preserve">  0.00% CloudFront 생성(류경호) 3/26-3/28 </v>
      </c>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4"/>
      <c r="EG123" s="4"/>
      <c r="EH123" s="4"/>
      <c r="EI123" s="4"/>
      <c r="EJ123" s="4"/>
      <c r="EK123" s="4"/>
      <c r="EL123" s="4"/>
      <c r="EM123" s="4"/>
      <c r="EN123" s="4"/>
      <c r="EO123" s="4"/>
      <c r="EP123" s="4"/>
      <c r="EQ123" s="4"/>
      <c r="ER123" s="4"/>
      <c r="ES123" s="4"/>
      <c r="ET123" s="4"/>
      <c r="EU123" s="4"/>
      <c r="EV123" s="4"/>
      <c r="EW123" s="4"/>
      <c r="EX123" s="4"/>
      <c r="EY123" s="4"/>
      <c r="EZ123" s="4"/>
      <c r="FA123" s="4"/>
      <c r="FB123" s="4"/>
      <c r="FC123" s="4"/>
      <c r="FD123" s="4"/>
      <c r="FE123" s="4"/>
    </row>
    <row r="124" spans="1:161" outlineLevel="5">
      <c r="A124" s="116"/>
      <c r="B124" s="116"/>
      <c r="C124" s="116">
        <v>6</v>
      </c>
      <c r="D124" s="3" t="s">
        <v>1338</v>
      </c>
      <c r="E124" s="184"/>
      <c r="F124" s="184"/>
      <c r="G124" s="184"/>
      <c r="H124" s="184"/>
      <c r="I124" s="184"/>
      <c r="J124" s="184" t="s">
        <v>1315</v>
      </c>
      <c r="K124" s="184"/>
      <c r="L124" s="184"/>
      <c r="M124" s="185">
        <v>43553</v>
      </c>
      <c r="N124" s="185">
        <v>43555</v>
      </c>
      <c r="O124" s="186"/>
      <c r="P124" s="187">
        <v>3</v>
      </c>
      <c r="Q124" s="187">
        <v>2</v>
      </c>
      <c r="R124" s="188">
        <v>3</v>
      </c>
      <c r="S124" s="188">
        <v>2</v>
      </c>
      <c r="T124" s="185"/>
      <c r="U124" s="185"/>
      <c r="V124" s="189"/>
      <c r="W124" s="190">
        <v>0</v>
      </c>
      <c r="X124" s="191">
        <v>1</v>
      </c>
      <c r="Y124" s="216" t="s">
        <v>1125</v>
      </c>
      <c r="Z124" s="192"/>
      <c r="AA124" s="97">
        <v>0.66666666666666663</v>
      </c>
      <c r="AB124" s="193">
        <v>0</v>
      </c>
      <c r="AC124" s="123"/>
      <c r="AD124" s="4"/>
      <c r="AE124" s="4"/>
      <c r="AF124" s="4"/>
      <c r="AG124" s="4"/>
      <c r="AH124" s="4" t="str">
        <f>"     " &amp; TEXT(AB124,"#0.00%") &amp; " " &amp; "파일 업로드 및 다운로드" &amp; "(류경호)" &amp; " " &amp; IF(M124="","",TEXT(M124,"M/D-")) &amp; IF(N124="","",TEXT(N124,"M/D")) &amp; " "</f>
        <v xml:space="preserve">     0.00% 파일 업로드 및 다운로드(류경호) 3/29-3/31 </v>
      </c>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4"/>
      <c r="EG124" s="4"/>
      <c r="EH124" s="4"/>
      <c r="EI124" s="4"/>
      <c r="EJ124" s="4"/>
      <c r="EK124" s="4"/>
      <c r="EL124" s="4"/>
      <c r="EM124" s="4"/>
      <c r="EN124" s="4"/>
      <c r="EO124" s="4"/>
      <c r="EP124" s="4"/>
      <c r="EQ124" s="4"/>
      <c r="ER124" s="4"/>
      <c r="ES124" s="4"/>
      <c r="ET124" s="4"/>
      <c r="EU124" s="4"/>
      <c r="EV124" s="4"/>
      <c r="EW124" s="4"/>
      <c r="EX124" s="4"/>
      <c r="EY124" s="4"/>
      <c r="EZ124" s="4"/>
      <c r="FA124" s="4"/>
      <c r="FB124" s="4"/>
      <c r="FC124" s="4"/>
      <c r="FD124" s="4"/>
      <c r="FE124" s="4"/>
    </row>
    <row r="125" spans="1:161" outlineLevel="5">
      <c r="A125" s="116"/>
      <c r="B125" s="116"/>
      <c r="C125" s="116">
        <v>0</v>
      </c>
      <c r="D125" s="3"/>
      <c r="E125" s="184"/>
      <c r="F125" s="184"/>
      <c r="G125" s="184"/>
      <c r="H125" s="184"/>
      <c r="I125" s="184"/>
      <c r="J125" s="184"/>
      <c r="K125" s="184"/>
      <c r="L125" s="184"/>
      <c r="M125" s="185"/>
      <c r="N125" s="185"/>
      <c r="O125" s="186"/>
      <c r="P125" s="187"/>
      <c r="Q125" s="187"/>
      <c r="R125" s="188">
        <v>0</v>
      </c>
      <c r="S125" s="188">
        <v>0</v>
      </c>
      <c r="T125" s="185"/>
      <c r="U125" s="185"/>
      <c r="V125" s="189"/>
      <c r="W125" s="190">
        <v>0</v>
      </c>
      <c r="X125" s="191"/>
      <c r="Y125" s="186"/>
      <c r="Z125" s="192"/>
      <c r="AA125" s="97"/>
      <c r="AB125" s="193"/>
      <c r="AC125" s="123"/>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c r="DW125" s="4"/>
      <c r="DX125" s="4"/>
      <c r="DY125" s="4"/>
      <c r="DZ125" s="4"/>
      <c r="EA125" s="4"/>
      <c r="EB125" s="4"/>
      <c r="EC125" s="4"/>
      <c r="ED125" s="4"/>
      <c r="EE125" s="4"/>
      <c r="EF125" s="4"/>
      <c r="EG125" s="4"/>
      <c r="EH125" s="4"/>
      <c r="EI125" s="4"/>
      <c r="EJ125" s="4"/>
      <c r="EK125" s="4"/>
      <c r="EL125" s="4"/>
      <c r="EM125" s="4"/>
      <c r="EN125" s="4"/>
      <c r="EO125" s="4"/>
      <c r="EP125" s="4"/>
      <c r="EQ125" s="4"/>
      <c r="ER125" s="4"/>
      <c r="ES125" s="4"/>
      <c r="ET125" s="4"/>
      <c r="EU125" s="4"/>
      <c r="EV125" s="4"/>
      <c r="EW125" s="4"/>
      <c r="EX125" s="4"/>
      <c r="EY125" s="4"/>
      <c r="EZ125" s="4"/>
      <c r="FA125" s="4"/>
      <c r="FB125" s="4"/>
      <c r="FC125" s="4"/>
      <c r="FD125" s="4"/>
      <c r="FE125" s="4"/>
    </row>
    <row r="126" spans="1:161" outlineLevel="4">
      <c r="A126" s="116"/>
      <c r="B126" s="116" t="s">
        <v>1071</v>
      </c>
      <c r="C126" s="116">
        <v>5</v>
      </c>
      <c r="D126" s="3" t="s">
        <v>1339</v>
      </c>
      <c r="E126" s="184"/>
      <c r="F126" s="184"/>
      <c r="G126" s="184"/>
      <c r="H126" s="184"/>
      <c r="I126" s="184" t="s">
        <v>1316</v>
      </c>
      <c r="J126" s="184"/>
      <c r="K126" s="184"/>
      <c r="L126" s="184"/>
      <c r="M126" s="185">
        <v>43545</v>
      </c>
      <c r="N126" s="185">
        <v>43548</v>
      </c>
      <c r="O126" s="186"/>
      <c r="P126" s="187">
        <v>8</v>
      </c>
      <c r="Q126" s="187">
        <v>8</v>
      </c>
      <c r="R126" s="188">
        <v>4</v>
      </c>
      <c r="S126" s="188">
        <v>4</v>
      </c>
      <c r="T126" s="185"/>
      <c r="U126" s="185"/>
      <c r="V126" s="189">
        <v>0</v>
      </c>
      <c r="W126" s="190">
        <v>0</v>
      </c>
      <c r="X126" s="191"/>
      <c r="Y126" s="216"/>
      <c r="Z126" s="192"/>
      <c r="AA126" s="97">
        <v>1</v>
      </c>
      <c r="AB126" s="193">
        <v>1</v>
      </c>
      <c r="AC126" s="123"/>
      <c r="AD126" s="4"/>
      <c r="AE126" s="4"/>
      <c r="AF126" s="4"/>
      <c r="AG126" s="4"/>
      <c r="AH126" s="4" t="str">
        <f>" " &amp; TEXT(AB126,"#0.00%") &amp; " " &amp; "로그인 구현" &amp; " " &amp; IF(M126="","",TEXT(M126,"M/D-")) &amp; IF(N126="","",TEXT(N126,"M/D")) &amp; " "</f>
        <v xml:space="preserve"> 100.00% 로그인 구현 3/21-3/24 </v>
      </c>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c r="DW126" s="4"/>
      <c r="DX126" s="4"/>
      <c r="DY126" s="4"/>
      <c r="DZ126" s="4"/>
      <c r="EA126" s="4"/>
      <c r="EB126" s="4"/>
      <c r="EC126" s="4"/>
      <c r="ED126" s="4"/>
      <c r="EE126" s="4"/>
      <c r="EF126" s="4"/>
      <c r="EG126" s="4"/>
      <c r="EH126" s="4"/>
      <c r="EI126" s="4"/>
      <c r="EJ126" s="4"/>
      <c r="EK126" s="4"/>
      <c r="EL126" s="4"/>
      <c r="EM126" s="4"/>
      <c r="EN126" s="4"/>
      <c r="EO126" s="4"/>
      <c r="EP126" s="4"/>
      <c r="EQ126" s="4"/>
      <c r="ER126" s="4"/>
      <c r="ES126" s="4"/>
      <c r="ET126" s="4"/>
      <c r="EU126" s="4"/>
      <c r="EV126" s="4"/>
      <c r="EW126" s="4"/>
      <c r="EX126" s="4"/>
      <c r="EY126" s="4"/>
      <c r="EZ126" s="4"/>
      <c r="FA126" s="4"/>
      <c r="FB126" s="4"/>
      <c r="FC126" s="4"/>
      <c r="FD126" s="4"/>
      <c r="FE126" s="4"/>
    </row>
    <row r="127" spans="1:161" outlineLevel="5">
      <c r="A127" s="116"/>
      <c r="B127" s="116"/>
      <c r="C127" s="116">
        <v>6</v>
      </c>
      <c r="D127" s="3" t="s">
        <v>1340</v>
      </c>
      <c r="E127" s="184"/>
      <c r="F127" s="184"/>
      <c r="G127" s="184"/>
      <c r="H127" s="184"/>
      <c r="I127" s="184"/>
      <c r="J127" s="184" t="s">
        <v>1317</v>
      </c>
      <c r="K127" s="184"/>
      <c r="L127" s="184"/>
      <c r="M127" s="185">
        <v>43545</v>
      </c>
      <c r="N127" s="185">
        <v>43548</v>
      </c>
      <c r="O127" s="186"/>
      <c r="P127" s="187">
        <v>4</v>
      </c>
      <c r="Q127" s="187">
        <v>4</v>
      </c>
      <c r="R127" s="188">
        <v>4</v>
      </c>
      <c r="S127" s="188">
        <v>4</v>
      </c>
      <c r="T127" s="185"/>
      <c r="U127" s="185"/>
      <c r="V127" s="189"/>
      <c r="W127" s="190">
        <v>0</v>
      </c>
      <c r="X127" s="191">
        <v>1</v>
      </c>
      <c r="Y127" s="216" t="s">
        <v>1125</v>
      </c>
      <c r="Z127" s="192"/>
      <c r="AA127" s="97">
        <v>1</v>
      </c>
      <c r="AB127" s="193">
        <v>1</v>
      </c>
      <c r="AC127" s="123"/>
      <c r="AD127" s="4"/>
      <c r="AE127" s="4"/>
      <c r="AF127" s="4"/>
      <c r="AG127" s="4"/>
      <c r="AH127" s="4" t="str">
        <f>" " &amp; TEXT(AB127,"#0.00%") &amp; " " &amp; "회원가입 및 로그인" &amp; "(류경호)" &amp; " " &amp; IF(M127="","",TEXT(M127,"M/D-")) &amp; IF(N127="","",TEXT(N127,"M/D")) &amp; " "</f>
        <v xml:space="preserve"> 100.00% 회원가입 및 로그인(류경호) 3/21-3/24 </v>
      </c>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c r="DW127" s="4"/>
      <c r="DX127" s="4"/>
      <c r="DY127" s="4"/>
      <c r="DZ127" s="4"/>
      <c r="EA127" s="4"/>
      <c r="EB127" s="4"/>
      <c r="EC127" s="4"/>
      <c r="ED127" s="4"/>
      <c r="EE127" s="4"/>
      <c r="EF127" s="4"/>
      <c r="EG127" s="4"/>
      <c r="EH127" s="4"/>
      <c r="EI127" s="4"/>
      <c r="EJ127" s="4"/>
      <c r="EK127" s="4"/>
      <c r="EL127" s="4"/>
      <c r="EM127" s="4"/>
      <c r="EN127" s="4"/>
      <c r="EO127" s="4"/>
      <c r="EP127" s="4"/>
      <c r="EQ127" s="4"/>
      <c r="ER127" s="4"/>
      <c r="ES127" s="4"/>
      <c r="ET127" s="4"/>
      <c r="EU127" s="4"/>
      <c r="EV127" s="4"/>
      <c r="EW127" s="4"/>
      <c r="EX127" s="4"/>
      <c r="EY127" s="4"/>
      <c r="EZ127" s="4"/>
      <c r="FA127" s="4"/>
      <c r="FB127" s="4"/>
      <c r="FC127" s="4"/>
      <c r="FD127" s="4"/>
      <c r="FE127" s="4"/>
    </row>
    <row r="128" spans="1:161" outlineLevel="5">
      <c r="A128" s="116"/>
      <c r="B128" s="116"/>
      <c r="C128" s="116">
        <v>6</v>
      </c>
      <c r="D128" s="3" t="s">
        <v>1341</v>
      </c>
      <c r="E128" s="184"/>
      <c r="F128" s="184"/>
      <c r="G128" s="184"/>
      <c r="H128" s="184"/>
      <c r="I128" s="184"/>
      <c r="J128" s="184" t="s">
        <v>1318</v>
      </c>
      <c r="K128" s="184"/>
      <c r="L128" s="184" t="s">
        <v>1319</v>
      </c>
      <c r="M128" s="185">
        <v>43545</v>
      </c>
      <c r="N128" s="185">
        <v>43548</v>
      </c>
      <c r="O128" s="186"/>
      <c r="P128" s="187">
        <v>4</v>
      </c>
      <c r="Q128" s="187">
        <v>4</v>
      </c>
      <c r="R128" s="188">
        <v>4</v>
      </c>
      <c r="S128" s="188">
        <v>4</v>
      </c>
      <c r="T128" s="185"/>
      <c r="U128" s="185"/>
      <c r="V128" s="189"/>
      <c r="W128" s="190">
        <v>0</v>
      </c>
      <c r="X128" s="191">
        <v>1</v>
      </c>
      <c r="Y128" s="216" t="s">
        <v>1125</v>
      </c>
      <c r="Z128" s="192"/>
      <c r="AA128" s="97">
        <v>1</v>
      </c>
      <c r="AB128" s="193">
        <v>1</v>
      </c>
      <c r="AC128" s="123"/>
      <c r="AD128" s="4"/>
      <c r="AE128" s="4"/>
      <c r="AF128" s="4"/>
      <c r="AG128" s="4"/>
      <c r="AH128" s="4" t="str">
        <f>" " &amp; TEXT(AB128,"#0.00%") &amp; " " &amp; "소셜로그인" &amp; "(류경호)" &amp; " " &amp; IF(M128="","",TEXT(M128,"M/D-")) &amp; IF(N128="","",TEXT(N128,"M/D")) &amp; " "</f>
        <v xml:space="preserve"> 100.00% 소셜로그인(류경호) 3/21-3/24 </v>
      </c>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4"/>
      <c r="EG128" s="4"/>
      <c r="EH128" s="4"/>
      <c r="EI128" s="4"/>
      <c r="EJ128" s="4"/>
      <c r="EK128" s="4"/>
      <c r="EL128" s="4"/>
      <c r="EM128" s="4"/>
      <c r="EN128" s="4"/>
      <c r="EO128" s="4"/>
      <c r="EP128" s="4"/>
      <c r="EQ128" s="4"/>
      <c r="ER128" s="4"/>
      <c r="ES128" s="4"/>
      <c r="ET128" s="4"/>
      <c r="EU128" s="4"/>
      <c r="EV128" s="4"/>
      <c r="EW128" s="4"/>
      <c r="EX128" s="4"/>
      <c r="EY128" s="4"/>
      <c r="EZ128" s="4"/>
      <c r="FA128" s="4"/>
      <c r="FB128" s="4"/>
      <c r="FC128" s="4"/>
      <c r="FD128" s="4"/>
      <c r="FE128" s="4"/>
    </row>
    <row r="129" spans="1:161" outlineLevel="5">
      <c r="A129" s="116"/>
      <c r="B129" s="116"/>
      <c r="C129" s="116">
        <v>0</v>
      </c>
      <c r="D129" s="3"/>
      <c r="E129" s="184"/>
      <c r="F129" s="184"/>
      <c r="G129" s="184"/>
      <c r="H129" s="184"/>
      <c r="I129" s="184"/>
      <c r="J129" s="184"/>
      <c r="K129" s="184"/>
      <c r="L129" s="184"/>
      <c r="M129" s="185"/>
      <c r="N129" s="185"/>
      <c r="O129" s="186"/>
      <c r="P129" s="187"/>
      <c r="Q129" s="187"/>
      <c r="R129" s="188">
        <v>0</v>
      </c>
      <c r="S129" s="188">
        <v>0</v>
      </c>
      <c r="T129" s="185"/>
      <c r="U129" s="185"/>
      <c r="V129" s="189"/>
      <c r="W129" s="190">
        <v>0</v>
      </c>
      <c r="X129" s="191"/>
      <c r="Y129" s="216"/>
      <c r="Z129" s="192"/>
      <c r="AA129" s="97"/>
      <c r="AB129" s="193"/>
      <c r="AC129" s="123"/>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c r="DW129" s="4"/>
      <c r="DX129" s="4"/>
      <c r="DY129" s="4"/>
      <c r="DZ129" s="4"/>
      <c r="EA129" s="4"/>
      <c r="EB129" s="4"/>
      <c r="EC129" s="4"/>
      <c r="ED129" s="4"/>
      <c r="EE129" s="4"/>
      <c r="EF129" s="4"/>
      <c r="EG129" s="4"/>
      <c r="EH129" s="4"/>
      <c r="EI129" s="4"/>
      <c r="EJ129" s="4"/>
      <c r="EK129" s="4"/>
      <c r="EL129" s="4"/>
      <c r="EM129" s="4"/>
      <c r="EN129" s="4"/>
      <c r="EO129" s="4"/>
      <c r="EP129" s="4"/>
      <c r="EQ129" s="4"/>
      <c r="ER129" s="4"/>
      <c r="ES129" s="4"/>
      <c r="ET129" s="4"/>
      <c r="EU129" s="4"/>
      <c r="EV129" s="4"/>
      <c r="EW129" s="4"/>
      <c r="EX129" s="4"/>
      <c r="EY129" s="4"/>
      <c r="EZ129" s="4"/>
      <c r="FA129" s="4"/>
      <c r="FB129" s="4"/>
      <c r="FC129" s="4"/>
      <c r="FD129" s="4"/>
      <c r="FE129" s="4"/>
    </row>
    <row r="130" spans="1:161" outlineLevel="4">
      <c r="A130" s="116"/>
      <c r="B130" s="116" t="s">
        <v>1071</v>
      </c>
      <c r="C130" s="116">
        <v>5</v>
      </c>
      <c r="D130" s="3" t="s">
        <v>1342</v>
      </c>
      <c r="E130" s="184"/>
      <c r="F130" s="184"/>
      <c r="G130" s="184"/>
      <c r="H130" s="184"/>
      <c r="I130" s="184" t="s">
        <v>1320</v>
      </c>
      <c r="J130" s="184"/>
      <c r="K130" s="184"/>
      <c r="L130" s="184"/>
      <c r="M130" s="185">
        <v>43556</v>
      </c>
      <c r="N130" s="185">
        <v>43566</v>
      </c>
      <c r="O130" s="186"/>
      <c r="P130" s="187">
        <v>11</v>
      </c>
      <c r="Q130" s="187">
        <v>0</v>
      </c>
      <c r="R130" s="188">
        <v>11</v>
      </c>
      <c r="S130" s="188">
        <v>0</v>
      </c>
      <c r="T130" s="185"/>
      <c r="U130" s="185"/>
      <c r="V130" s="189">
        <v>0</v>
      </c>
      <c r="W130" s="190">
        <v>0</v>
      </c>
      <c r="X130" s="191"/>
      <c r="Y130" s="186"/>
      <c r="Z130" s="192"/>
      <c r="AA130" s="97">
        <v>0</v>
      </c>
      <c r="AB130" s="193">
        <v>0</v>
      </c>
      <c r="AC130" s="123"/>
      <c r="AD130" s="4"/>
      <c r="AE130" s="4"/>
      <c r="AF130" s="4"/>
      <c r="AG130" s="4"/>
      <c r="AH130" s="4"/>
      <c r="AI130" s="4" t="str">
        <f>" " &amp; TEXT(AB130,"#0.00%") &amp; " " &amp; "관리자 페이지" &amp; " " &amp; IF(M130="","",TEXT(M130,"M/D-")) &amp; IF(N130="","",TEXT(N130,"M/D")) &amp; " "</f>
        <v xml:space="preserve"> 0.00% 관리자 페이지 4/1-4/11 </v>
      </c>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c r="DW130" s="4"/>
      <c r="DX130" s="4"/>
      <c r="DY130" s="4"/>
      <c r="DZ130" s="4"/>
      <c r="EA130" s="4"/>
      <c r="EB130" s="4"/>
      <c r="EC130" s="4"/>
      <c r="ED130" s="4"/>
      <c r="EE130" s="4"/>
      <c r="EF130" s="4"/>
      <c r="EG130" s="4"/>
      <c r="EH130" s="4"/>
      <c r="EI130" s="4"/>
      <c r="EJ130" s="4"/>
      <c r="EK130" s="4"/>
      <c r="EL130" s="4"/>
      <c r="EM130" s="4"/>
      <c r="EN130" s="4"/>
      <c r="EO130" s="4"/>
      <c r="EP130" s="4"/>
      <c r="EQ130" s="4"/>
      <c r="ER130" s="4"/>
      <c r="ES130" s="4"/>
      <c r="ET130" s="4"/>
      <c r="EU130" s="4"/>
      <c r="EV130" s="4"/>
      <c r="EW130" s="4"/>
      <c r="EX130" s="4"/>
      <c r="EY130" s="4"/>
      <c r="EZ130" s="4"/>
      <c r="FA130" s="4"/>
      <c r="FB130" s="4"/>
      <c r="FC130" s="4"/>
      <c r="FD130" s="4"/>
      <c r="FE130" s="4"/>
    </row>
    <row r="131" spans="1:161" outlineLevel="5">
      <c r="A131" s="116"/>
      <c r="B131" s="116"/>
      <c r="C131" s="116">
        <v>6</v>
      </c>
      <c r="D131" s="3" t="s">
        <v>1343</v>
      </c>
      <c r="E131" s="184"/>
      <c r="F131" s="184"/>
      <c r="G131" s="184"/>
      <c r="H131" s="184"/>
      <c r="I131" s="184"/>
      <c r="J131" s="184" t="s">
        <v>1321</v>
      </c>
      <c r="K131" s="184"/>
      <c r="L131" s="184"/>
      <c r="M131" s="185">
        <v>43556</v>
      </c>
      <c r="N131" s="185">
        <v>43559</v>
      </c>
      <c r="O131" s="186"/>
      <c r="P131" s="187">
        <v>4</v>
      </c>
      <c r="Q131" s="187">
        <v>0</v>
      </c>
      <c r="R131" s="188">
        <v>4</v>
      </c>
      <c r="S131" s="188">
        <v>0</v>
      </c>
      <c r="T131" s="185"/>
      <c r="U131" s="185"/>
      <c r="V131" s="189"/>
      <c r="W131" s="190">
        <v>0</v>
      </c>
      <c r="X131" s="191">
        <v>1</v>
      </c>
      <c r="Y131" s="216" t="s">
        <v>1125</v>
      </c>
      <c r="Z131" s="192"/>
      <c r="AA131" s="97">
        <v>0</v>
      </c>
      <c r="AB131" s="193">
        <v>0</v>
      </c>
      <c r="AC131" s="123"/>
      <c r="AD131" s="4"/>
      <c r="AE131" s="4"/>
      <c r="AF131" s="4"/>
      <c r="AG131" s="4"/>
      <c r="AH131" s="4"/>
      <c r="AI131" s="4" t="str">
        <f>" " &amp; TEXT(AB131,"#0.00%") &amp; " " &amp; "회원관리" &amp; "(류경호)" &amp; " " &amp; IF(M131="","",TEXT(M131,"M/D-")) &amp; IF(N131="","",TEXT(N131,"M/D")) &amp; " "</f>
        <v xml:space="preserve"> 0.00% 회원관리(류경호) 4/1-4/4 </v>
      </c>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c r="DW131" s="4"/>
      <c r="DX131" s="4"/>
      <c r="DY131" s="4"/>
      <c r="DZ131" s="4"/>
      <c r="EA131" s="4"/>
      <c r="EB131" s="4"/>
      <c r="EC131" s="4"/>
      <c r="ED131" s="4"/>
      <c r="EE131" s="4"/>
      <c r="EF131" s="4"/>
      <c r="EG131" s="4"/>
      <c r="EH131" s="4"/>
      <c r="EI131" s="4"/>
      <c r="EJ131" s="4"/>
      <c r="EK131" s="4"/>
      <c r="EL131" s="4"/>
      <c r="EM131" s="4"/>
      <c r="EN131" s="4"/>
      <c r="EO131" s="4"/>
      <c r="EP131" s="4"/>
      <c r="EQ131" s="4"/>
      <c r="ER131" s="4"/>
      <c r="ES131" s="4"/>
      <c r="ET131" s="4"/>
      <c r="EU131" s="4"/>
      <c r="EV131" s="4"/>
      <c r="EW131" s="4"/>
      <c r="EX131" s="4"/>
      <c r="EY131" s="4"/>
      <c r="EZ131" s="4"/>
      <c r="FA131" s="4"/>
      <c r="FB131" s="4"/>
      <c r="FC131" s="4"/>
      <c r="FD131" s="4"/>
      <c r="FE131" s="4"/>
    </row>
    <row r="132" spans="1:161" outlineLevel="5">
      <c r="A132" s="116"/>
      <c r="B132" s="116"/>
      <c r="C132" s="116">
        <v>6</v>
      </c>
      <c r="D132" s="3" t="s">
        <v>1344</v>
      </c>
      <c r="E132" s="184"/>
      <c r="F132" s="184"/>
      <c r="G132" s="184"/>
      <c r="H132" s="184"/>
      <c r="I132" s="184"/>
      <c r="J132" s="184" t="s">
        <v>1322</v>
      </c>
      <c r="K132" s="184"/>
      <c r="L132" s="184" t="s">
        <v>1323</v>
      </c>
      <c r="M132" s="185">
        <v>43560</v>
      </c>
      <c r="N132" s="185">
        <v>43562</v>
      </c>
      <c r="O132" s="186"/>
      <c r="P132" s="187">
        <v>3</v>
      </c>
      <c r="Q132" s="187">
        <v>0</v>
      </c>
      <c r="R132" s="188">
        <v>3</v>
      </c>
      <c r="S132" s="188">
        <v>0</v>
      </c>
      <c r="T132" s="185"/>
      <c r="U132" s="185"/>
      <c r="V132" s="189"/>
      <c r="W132" s="190">
        <v>0</v>
      </c>
      <c r="X132" s="191">
        <v>1</v>
      </c>
      <c r="Y132" s="216" t="s">
        <v>1125</v>
      </c>
      <c r="Z132" s="192"/>
      <c r="AA132" s="97">
        <v>0</v>
      </c>
      <c r="AB132" s="193">
        <v>0</v>
      </c>
      <c r="AC132" s="123"/>
      <c r="AD132" s="4"/>
      <c r="AE132" s="4"/>
      <c r="AF132" s="4"/>
      <c r="AG132" s="4"/>
      <c r="AH132" s="4"/>
      <c r="AI132" s="4" t="str">
        <f>"     " &amp; TEXT(AB132,"#0.00%") &amp; " " &amp; "상품관리" &amp; "(류경호)" &amp; " " &amp; IF(M132="","",TEXT(M132,"M/D-")) &amp; IF(N132="","",TEXT(N132,"M/D")) &amp; " "</f>
        <v xml:space="preserve">     0.00% 상품관리(류경호) 4/5-4/7 </v>
      </c>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c r="DW132" s="4"/>
      <c r="DX132" s="4"/>
      <c r="DY132" s="4"/>
      <c r="DZ132" s="4"/>
      <c r="EA132" s="4"/>
      <c r="EB132" s="4"/>
      <c r="EC132" s="4"/>
      <c r="ED132" s="4"/>
      <c r="EE132" s="4"/>
      <c r="EF132" s="4"/>
      <c r="EG132" s="4"/>
      <c r="EH132" s="4"/>
      <c r="EI132" s="4"/>
      <c r="EJ132" s="4"/>
      <c r="EK132" s="4"/>
      <c r="EL132" s="4"/>
      <c r="EM132" s="4"/>
      <c r="EN132" s="4"/>
      <c r="EO132" s="4"/>
      <c r="EP132" s="4"/>
      <c r="EQ132" s="4"/>
      <c r="ER132" s="4"/>
      <c r="ES132" s="4"/>
      <c r="ET132" s="4"/>
      <c r="EU132" s="4"/>
      <c r="EV132" s="4"/>
      <c r="EW132" s="4"/>
      <c r="EX132" s="4"/>
      <c r="EY132" s="4"/>
      <c r="EZ132" s="4"/>
      <c r="FA132" s="4"/>
      <c r="FB132" s="4"/>
      <c r="FC132" s="4"/>
      <c r="FD132" s="4"/>
      <c r="FE132" s="4"/>
    </row>
    <row r="133" spans="1:161" outlineLevel="5">
      <c r="A133" s="116"/>
      <c r="B133" s="116"/>
      <c r="C133" s="116">
        <v>6</v>
      </c>
      <c r="D133" s="3" t="s">
        <v>1345</v>
      </c>
      <c r="E133" s="184"/>
      <c r="F133" s="184"/>
      <c r="G133" s="184"/>
      <c r="H133" s="184"/>
      <c r="I133" s="184"/>
      <c r="J133" s="184" t="s">
        <v>1324</v>
      </c>
      <c r="K133" s="184"/>
      <c r="L133" s="184" t="s">
        <v>1325</v>
      </c>
      <c r="M133" s="185">
        <v>43563</v>
      </c>
      <c r="N133" s="185">
        <v>43566</v>
      </c>
      <c r="O133" s="186"/>
      <c r="P133" s="187">
        <v>4</v>
      </c>
      <c r="Q133" s="187">
        <v>0</v>
      </c>
      <c r="R133" s="188">
        <v>4</v>
      </c>
      <c r="S133" s="188">
        <v>0</v>
      </c>
      <c r="T133" s="185"/>
      <c r="U133" s="185"/>
      <c r="V133" s="189"/>
      <c r="W133" s="190">
        <v>0</v>
      </c>
      <c r="X133" s="191">
        <v>1</v>
      </c>
      <c r="Y133" s="216" t="s">
        <v>1125</v>
      </c>
      <c r="Z133" s="192"/>
      <c r="AA133" s="97">
        <v>0</v>
      </c>
      <c r="AB133" s="193">
        <v>0</v>
      </c>
      <c r="AC133" s="123"/>
      <c r="AD133" s="4"/>
      <c r="AE133" s="4"/>
      <c r="AF133" s="4"/>
      <c r="AG133" s="4"/>
      <c r="AH133" s="4"/>
      <c r="AI133" s="4"/>
      <c r="AJ133" s="4" t="str">
        <f>" " &amp; TEXT(AB133,"#0.00%") &amp; " " &amp; "게시판관리" &amp; "(류경호)" &amp; " " &amp; IF(M133="","",TEXT(M133,"M/D-")) &amp; IF(N133="","",TEXT(N133,"M/D")) &amp; " "</f>
        <v xml:space="preserve"> 0.00% 게시판관리(류경호) 4/8-4/11 </v>
      </c>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c r="DW133" s="4"/>
      <c r="DX133" s="4"/>
      <c r="DY133" s="4"/>
      <c r="DZ133" s="4"/>
      <c r="EA133" s="4"/>
      <c r="EB133" s="4"/>
      <c r="EC133" s="4"/>
      <c r="ED133" s="4"/>
      <c r="EE133" s="4"/>
      <c r="EF133" s="4"/>
      <c r="EG133" s="4"/>
      <c r="EH133" s="4"/>
      <c r="EI133" s="4"/>
      <c r="EJ133" s="4"/>
      <c r="EK133" s="4"/>
      <c r="EL133" s="4"/>
      <c r="EM133" s="4"/>
      <c r="EN133" s="4"/>
      <c r="EO133" s="4"/>
      <c r="EP133" s="4"/>
      <c r="EQ133" s="4"/>
      <c r="ER133" s="4"/>
      <c r="ES133" s="4"/>
      <c r="ET133" s="4"/>
      <c r="EU133" s="4"/>
      <c r="EV133" s="4"/>
      <c r="EW133" s="4"/>
      <c r="EX133" s="4"/>
      <c r="EY133" s="4"/>
      <c r="EZ133" s="4"/>
      <c r="FA133" s="4"/>
      <c r="FB133" s="4"/>
      <c r="FC133" s="4"/>
      <c r="FD133" s="4"/>
      <c r="FE133" s="4"/>
    </row>
    <row r="134" spans="1:161" outlineLevel="5">
      <c r="A134" s="116"/>
      <c r="B134" s="116"/>
      <c r="C134" s="116">
        <v>0</v>
      </c>
      <c r="D134" s="3"/>
      <c r="E134" s="184"/>
      <c r="F134" s="184"/>
      <c r="G134" s="184"/>
      <c r="H134" s="184"/>
      <c r="I134" s="184"/>
      <c r="J134" s="184"/>
      <c r="K134" s="184"/>
      <c r="L134" s="184"/>
      <c r="M134" s="185"/>
      <c r="N134" s="185"/>
      <c r="O134" s="186"/>
      <c r="P134" s="187"/>
      <c r="Q134" s="187"/>
      <c r="R134" s="188">
        <v>0</v>
      </c>
      <c r="S134" s="188">
        <v>0</v>
      </c>
      <c r="T134" s="185"/>
      <c r="U134" s="185"/>
      <c r="V134" s="189"/>
      <c r="W134" s="190">
        <v>0</v>
      </c>
      <c r="X134" s="191"/>
      <c r="Y134" s="186"/>
      <c r="Z134" s="192"/>
      <c r="AA134" s="97"/>
      <c r="AB134" s="193"/>
      <c r="AC134" s="123"/>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c r="DW134" s="4"/>
      <c r="DX134" s="4"/>
      <c r="DY134" s="4"/>
      <c r="DZ134" s="4"/>
      <c r="EA134" s="4"/>
      <c r="EB134" s="4"/>
      <c r="EC134" s="4"/>
      <c r="ED134" s="4"/>
      <c r="EE134" s="4"/>
      <c r="EF134" s="4"/>
      <c r="EG134" s="4"/>
      <c r="EH134" s="4"/>
      <c r="EI134" s="4"/>
      <c r="EJ134" s="4"/>
      <c r="EK134" s="4"/>
      <c r="EL134" s="4"/>
      <c r="EM134" s="4"/>
      <c r="EN134" s="4"/>
      <c r="EO134" s="4"/>
      <c r="EP134" s="4"/>
      <c r="EQ134" s="4"/>
      <c r="ER134" s="4"/>
      <c r="ES134" s="4"/>
      <c r="ET134" s="4"/>
      <c r="EU134" s="4"/>
      <c r="EV134" s="4"/>
      <c r="EW134" s="4"/>
      <c r="EX134" s="4"/>
      <c r="EY134" s="4"/>
      <c r="EZ134" s="4"/>
      <c r="FA134" s="4"/>
      <c r="FB134" s="4"/>
      <c r="FC134" s="4"/>
      <c r="FD134" s="4"/>
      <c r="FE134" s="4"/>
    </row>
    <row r="135" spans="1:161" outlineLevel="4">
      <c r="A135" s="116"/>
      <c r="B135" s="116" t="s">
        <v>1071</v>
      </c>
      <c r="C135" s="116">
        <v>5</v>
      </c>
      <c r="D135" s="3" t="s">
        <v>1346</v>
      </c>
      <c r="E135" s="184"/>
      <c r="F135" s="184"/>
      <c r="G135" s="184"/>
      <c r="H135" s="184"/>
      <c r="I135" s="184" t="s">
        <v>1326</v>
      </c>
      <c r="J135" s="184"/>
      <c r="K135" s="184"/>
      <c r="L135" s="184"/>
      <c r="M135" s="185">
        <v>43570</v>
      </c>
      <c r="N135" s="185">
        <v>43589</v>
      </c>
      <c r="O135" s="186"/>
      <c r="P135" s="187">
        <v>20</v>
      </c>
      <c r="Q135" s="187">
        <v>0</v>
      </c>
      <c r="R135" s="188">
        <v>20</v>
      </c>
      <c r="S135" s="188">
        <v>0</v>
      </c>
      <c r="T135" s="185"/>
      <c r="U135" s="185"/>
      <c r="V135" s="189">
        <v>0</v>
      </c>
      <c r="W135" s="190">
        <v>0</v>
      </c>
      <c r="X135" s="191"/>
      <c r="Y135" s="186"/>
      <c r="Z135" s="192"/>
      <c r="AA135" s="97">
        <v>0</v>
      </c>
      <c r="AB135" s="193">
        <v>0</v>
      </c>
      <c r="AC135" s="123"/>
      <c r="AD135" s="4"/>
      <c r="AE135" s="4"/>
      <c r="AF135" s="4"/>
      <c r="AG135" s="4"/>
      <c r="AH135" s="4"/>
      <c r="AI135" s="4"/>
      <c r="AJ135" s="4"/>
      <c r="AK135" s="4" t="str">
        <f>" " &amp; TEXT(AB135,"#0.00%") &amp; " "</f>
        <v xml:space="preserve"> 0.00% </v>
      </c>
      <c r="AL135" s="4"/>
      <c r="AM135" s="4"/>
      <c r="AN135" s="4" t="str">
        <f>"" &amp; "라우팅, 컨트롤러" &amp; " " &amp; IF(M135="","",TEXT(M135,"M/D-")) &amp; IF(N135="","",TEXT(N135,"M/D")) &amp; " "</f>
        <v xml:space="preserve">라우팅, 컨트롤러 4/15-5/4 </v>
      </c>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c r="DW135" s="4"/>
      <c r="DX135" s="4"/>
      <c r="DY135" s="4"/>
      <c r="DZ135" s="4"/>
      <c r="EA135" s="4"/>
      <c r="EB135" s="4"/>
      <c r="EC135" s="4"/>
      <c r="ED135" s="4"/>
      <c r="EE135" s="4"/>
      <c r="EF135" s="4"/>
      <c r="EG135" s="4"/>
      <c r="EH135" s="4"/>
      <c r="EI135" s="4"/>
      <c r="EJ135" s="4"/>
      <c r="EK135" s="4"/>
      <c r="EL135" s="4"/>
      <c r="EM135" s="4"/>
      <c r="EN135" s="4"/>
      <c r="EO135" s="4"/>
      <c r="EP135" s="4"/>
      <c r="EQ135" s="4"/>
      <c r="ER135" s="4"/>
      <c r="ES135" s="4"/>
      <c r="ET135" s="4"/>
      <c r="EU135" s="4"/>
      <c r="EV135" s="4"/>
      <c r="EW135" s="4"/>
      <c r="EX135" s="4"/>
      <c r="EY135" s="4"/>
      <c r="EZ135" s="4"/>
      <c r="FA135" s="4"/>
      <c r="FB135" s="4"/>
      <c r="FC135" s="4"/>
      <c r="FD135" s="4"/>
      <c r="FE135" s="4"/>
    </row>
    <row r="136" spans="1:161" outlineLevel="5">
      <c r="A136" s="116"/>
      <c r="B136" s="116"/>
      <c r="C136" s="116">
        <v>6</v>
      </c>
      <c r="D136" s="3" t="s">
        <v>1347</v>
      </c>
      <c r="E136" s="184"/>
      <c r="F136" s="184"/>
      <c r="G136" s="184"/>
      <c r="H136" s="184"/>
      <c r="I136" s="184"/>
      <c r="J136" s="184" t="s">
        <v>1327</v>
      </c>
      <c r="K136" s="184"/>
      <c r="L136" s="184"/>
      <c r="M136" s="185">
        <v>43570</v>
      </c>
      <c r="N136" s="185">
        <v>43571</v>
      </c>
      <c r="O136" s="186"/>
      <c r="P136" s="187">
        <v>2</v>
      </c>
      <c r="Q136" s="187">
        <v>0</v>
      </c>
      <c r="R136" s="188">
        <v>2</v>
      </c>
      <c r="S136" s="188">
        <v>0</v>
      </c>
      <c r="T136" s="185"/>
      <c r="U136" s="185"/>
      <c r="V136" s="189"/>
      <c r="W136" s="190">
        <v>0</v>
      </c>
      <c r="X136" s="191">
        <v>1</v>
      </c>
      <c r="Y136" s="186" t="s">
        <v>1391</v>
      </c>
      <c r="Z136" s="192"/>
      <c r="AA136" s="97">
        <v>0</v>
      </c>
      <c r="AB136" s="193">
        <v>0</v>
      </c>
      <c r="AC136" s="123"/>
      <c r="AD136" s="4"/>
      <c r="AE136" s="4"/>
      <c r="AF136" s="4"/>
      <c r="AG136" s="4"/>
      <c r="AH136" s="4"/>
      <c r="AI136" s="4"/>
      <c r="AJ136" s="4"/>
      <c r="AK136" s="4" t="str">
        <f>" " &amp; TEXT(AB136,"#0.00%") &amp; " " &amp; "오디오 편집 요청에 따른 컨트롤러 작성" &amp; "(류경호, 송주헌)" &amp; " " &amp; IF(M136="","",TEXT(M136,"M/D-")) &amp; IF(N136="","",TEXT(N136,"M/D")) &amp; " "</f>
        <v xml:space="preserve"> 0.00% 오디오 편집 요청에 따른 컨트롤러 작성(류경호, 송주헌) 4/15-4/16 </v>
      </c>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c r="DW136" s="4"/>
      <c r="DX136" s="4"/>
      <c r="DY136" s="4"/>
      <c r="DZ136" s="4"/>
      <c r="EA136" s="4"/>
      <c r="EB136" s="4"/>
      <c r="EC136" s="4"/>
      <c r="ED136" s="4"/>
      <c r="EE136" s="4"/>
      <c r="EF136" s="4"/>
      <c r="EG136" s="4"/>
      <c r="EH136" s="4"/>
      <c r="EI136" s="4"/>
      <c r="EJ136" s="4"/>
      <c r="EK136" s="4"/>
      <c r="EL136" s="4"/>
      <c r="EM136" s="4"/>
      <c r="EN136" s="4"/>
      <c r="EO136" s="4"/>
      <c r="EP136" s="4"/>
      <c r="EQ136" s="4"/>
      <c r="ER136" s="4"/>
      <c r="ES136" s="4"/>
      <c r="ET136" s="4"/>
      <c r="EU136" s="4"/>
      <c r="EV136" s="4"/>
      <c r="EW136" s="4"/>
      <c r="EX136" s="4"/>
      <c r="EY136" s="4"/>
      <c r="EZ136" s="4"/>
      <c r="FA136" s="4"/>
      <c r="FB136" s="4"/>
      <c r="FC136" s="4"/>
      <c r="FD136" s="4"/>
      <c r="FE136" s="4"/>
    </row>
    <row r="137" spans="1:161" outlineLevel="5">
      <c r="A137" s="116"/>
      <c r="B137" s="116"/>
      <c r="C137" s="116">
        <v>6</v>
      </c>
      <c r="D137" s="3" t="s">
        <v>1348</v>
      </c>
      <c r="E137" s="184"/>
      <c r="F137" s="184"/>
      <c r="G137" s="184"/>
      <c r="H137" s="184"/>
      <c r="I137" s="184"/>
      <c r="J137" s="184" t="s">
        <v>1328</v>
      </c>
      <c r="K137" s="184"/>
      <c r="L137" s="184"/>
      <c r="M137" s="185">
        <v>43572</v>
      </c>
      <c r="N137" s="185">
        <v>43574</v>
      </c>
      <c r="O137" s="186"/>
      <c r="P137" s="187">
        <v>3</v>
      </c>
      <c r="Q137" s="187">
        <v>0</v>
      </c>
      <c r="R137" s="188">
        <v>3</v>
      </c>
      <c r="S137" s="188">
        <v>0</v>
      </c>
      <c r="T137" s="185"/>
      <c r="U137" s="185"/>
      <c r="V137" s="189"/>
      <c r="W137" s="190">
        <v>0</v>
      </c>
      <c r="X137" s="191">
        <v>1</v>
      </c>
      <c r="Y137" s="186" t="s">
        <v>1391</v>
      </c>
      <c r="Z137" s="192"/>
      <c r="AA137" s="97">
        <v>0</v>
      </c>
      <c r="AB137" s="193">
        <v>0</v>
      </c>
      <c r="AC137" s="123"/>
      <c r="AD137" s="4"/>
      <c r="AE137" s="4"/>
      <c r="AF137" s="4"/>
      <c r="AG137" s="4"/>
      <c r="AH137" s="4"/>
      <c r="AI137" s="4"/>
      <c r="AJ137" s="4"/>
      <c r="AK137" s="4" t="str">
        <f>"   " &amp; TEXT(AB137,"#0.00%") &amp; " " &amp; "게시판 정렬" &amp; "(류경호, 송주헌)" &amp; " " &amp; IF(M137="","",TEXT(M137,"M/D-")) &amp; IF(N137="","",TEXT(N137,"M/D")) &amp; " "</f>
        <v xml:space="preserve">   0.00% 게시판 정렬(류경호, 송주헌) 4/17-4/19 </v>
      </c>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c r="EY137" s="4"/>
      <c r="EZ137" s="4"/>
      <c r="FA137" s="4"/>
      <c r="FB137" s="4"/>
      <c r="FC137" s="4"/>
      <c r="FD137" s="4"/>
      <c r="FE137" s="4"/>
    </row>
    <row r="138" spans="1:161" outlineLevel="5">
      <c r="A138" s="116"/>
      <c r="B138" s="116"/>
      <c r="C138" s="116">
        <v>6</v>
      </c>
      <c r="D138" s="3" t="s">
        <v>1349</v>
      </c>
      <c r="E138" s="184"/>
      <c r="F138" s="184"/>
      <c r="G138" s="184"/>
      <c r="H138" s="184"/>
      <c r="I138" s="184"/>
      <c r="J138" s="184" t="s">
        <v>1329</v>
      </c>
      <c r="K138" s="184"/>
      <c r="L138" s="184"/>
      <c r="M138" s="185">
        <v>43575</v>
      </c>
      <c r="N138" s="185">
        <v>43578</v>
      </c>
      <c r="O138" s="186"/>
      <c r="P138" s="187">
        <v>4</v>
      </c>
      <c r="Q138" s="187">
        <v>0</v>
      </c>
      <c r="R138" s="188">
        <v>4</v>
      </c>
      <c r="S138" s="188">
        <v>0</v>
      </c>
      <c r="T138" s="185"/>
      <c r="U138" s="185"/>
      <c r="V138" s="189"/>
      <c r="W138" s="190">
        <v>0</v>
      </c>
      <c r="X138" s="191">
        <v>1</v>
      </c>
      <c r="Y138" s="186" t="s">
        <v>1391</v>
      </c>
      <c r="Z138" s="192"/>
      <c r="AA138" s="97">
        <v>0</v>
      </c>
      <c r="AB138" s="193">
        <v>0</v>
      </c>
      <c r="AC138" s="123"/>
      <c r="AD138" s="4"/>
      <c r="AE138" s="4"/>
      <c r="AF138" s="4"/>
      <c r="AG138" s="4"/>
      <c r="AH138" s="4"/>
      <c r="AI138" s="4"/>
      <c r="AJ138" s="4"/>
      <c r="AK138" s="4" t="str">
        <f>"      " &amp; TEXT(AB138,"#0.00%") &amp; " " &amp; "게시판 검색" &amp; "(류경호, 송주헌)" &amp; " " &amp; IF(M138="","",TEXT(M138,"M/D-")) &amp; IF(N138="","",TEXT(N138,"M/D")) &amp; " "</f>
        <v xml:space="preserve">      0.00% 게시판 검색(류경호, 송주헌) 4/20-4/23 </v>
      </c>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c r="EY138" s="4"/>
      <c r="EZ138" s="4"/>
      <c r="FA138" s="4"/>
      <c r="FB138" s="4"/>
      <c r="FC138" s="4"/>
      <c r="FD138" s="4"/>
      <c r="FE138" s="4"/>
    </row>
    <row r="139" spans="1:161" outlineLevel="5">
      <c r="A139" s="116"/>
      <c r="B139" s="116"/>
      <c r="C139" s="116">
        <v>6</v>
      </c>
      <c r="D139" s="3" t="s">
        <v>1350</v>
      </c>
      <c r="E139" s="184"/>
      <c r="F139" s="184"/>
      <c r="G139" s="184"/>
      <c r="H139" s="184"/>
      <c r="I139" s="184"/>
      <c r="J139" s="184" t="s">
        <v>1330</v>
      </c>
      <c r="K139" s="184"/>
      <c r="L139" s="184"/>
      <c r="M139" s="185">
        <v>43579</v>
      </c>
      <c r="N139" s="185">
        <v>43580</v>
      </c>
      <c r="O139" s="186"/>
      <c r="P139" s="187">
        <v>2</v>
      </c>
      <c r="Q139" s="187">
        <v>0</v>
      </c>
      <c r="R139" s="188">
        <v>2</v>
      </c>
      <c r="S139" s="188">
        <v>0</v>
      </c>
      <c r="T139" s="185"/>
      <c r="U139" s="185"/>
      <c r="V139" s="189"/>
      <c r="W139" s="190">
        <v>0</v>
      </c>
      <c r="X139" s="191">
        <v>1</v>
      </c>
      <c r="Y139" s="216" t="s">
        <v>1125</v>
      </c>
      <c r="Z139" s="192"/>
      <c r="AA139" s="97">
        <v>0</v>
      </c>
      <c r="AB139" s="193">
        <v>0</v>
      </c>
      <c r="AC139" s="123"/>
      <c r="AD139" s="4"/>
      <c r="AE139" s="4"/>
      <c r="AF139" s="4"/>
      <c r="AG139" s="4"/>
      <c r="AH139" s="4"/>
      <c r="AI139" s="4"/>
      <c r="AJ139" s="4"/>
      <c r="AK139" s="4"/>
      <c r="AL139" s="4" t="str">
        <f>"   " &amp; TEXT(AB139,"#0.00%") &amp; " " &amp; "게시글 조회 및 추천" &amp; "(류경호)" &amp; " " &amp; IF(M139="","",TEXT(M139,"M/D-")) &amp; IF(N139="","",TEXT(N139,"M/D")) &amp; " "</f>
        <v xml:space="preserve">   0.00% 게시글 조회 및 추천(류경호) 4/24-4/25 </v>
      </c>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c r="EY139" s="4"/>
      <c r="EZ139" s="4"/>
      <c r="FA139" s="4"/>
      <c r="FB139" s="4"/>
      <c r="FC139" s="4"/>
      <c r="FD139" s="4"/>
      <c r="FE139" s="4"/>
    </row>
    <row r="140" spans="1:161" outlineLevel="5">
      <c r="A140" s="116"/>
      <c r="B140" s="116"/>
      <c r="C140" s="116">
        <v>6</v>
      </c>
      <c r="D140" s="3" t="s">
        <v>1351</v>
      </c>
      <c r="E140" s="184"/>
      <c r="F140" s="184"/>
      <c r="G140" s="184"/>
      <c r="H140" s="184"/>
      <c r="I140" s="184"/>
      <c r="J140" s="184" t="s">
        <v>1211</v>
      </c>
      <c r="K140" s="184"/>
      <c r="L140" s="184"/>
      <c r="M140" s="185">
        <v>43581</v>
      </c>
      <c r="N140" s="185">
        <v>43584</v>
      </c>
      <c r="O140" s="186"/>
      <c r="P140" s="187">
        <v>4</v>
      </c>
      <c r="Q140" s="187">
        <v>0</v>
      </c>
      <c r="R140" s="188">
        <v>4</v>
      </c>
      <c r="S140" s="188">
        <v>0</v>
      </c>
      <c r="T140" s="185"/>
      <c r="U140" s="185"/>
      <c r="V140" s="189"/>
      <c r="W140" s="190">
        <v>0</v>
      </c>
      <c r="X140" s="191">
        <v>1</v>
      </c>
      <c r="Y140" s="216" t="s">
        <v>1125</v>
      </c>
      <c r="Z140" s="192"/>
      <c r="AA140" s="97">
        <v>0</v>
      </c>
      <c r="AB140" s="193">
        <v>0</v>
      </c>
      <c r="AC140" s="123"/>
      <c r="AD140" s="4"/>
      <c r="AE140" s="4"/>
      <c r="AF140" s="4"/>
      <c r="AG140" s="4"/>
      <c r="AH140" s="4"/>
      <c r="AI140" s="4"/>
      <c r="AJ140" s="4"/>
      <c r="AK140" s="4"/>
      <c r="AL140" s="4" t="str">
        <f>"     " &amp; TEXT(AB140,"#0.00%") &amp; " " &amp; "스토어" &amp; "(류경호)" &amp; " " &amp; IF(M140="","",TEXT(M140,"M/D-")) &amp; IF(N140="","",TEXT(N140,"M/D")) &amp; " "</f>
        <v xml:space="preserve">     0.00% 스토어(류경호) 4/26-4/29 </v>
      </c>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c r="EY140" s="4"/>
      <c r="EZ140" s="4"/>
      <c r="FA140" s="4"/>
      <c r="FB140" s="4"/>
      <c r="FC140" s="4"/>
      <c r="FD140" s="4"/>
      <c r="FE140" s="4"/>
    </row>
    <row r="141" spans="1:161" outlineLevel="5">
      <c r="A141" s="116"/>
      <c r="B141" s="116"/>
      <c r="C141" s="116">
        <v>6</v>
      </c>
      <c r="D141" s="3" t="s">
        <v>1352</v>
      </c>
      <c r="E141" s="184"/>
      <c r="F141" s="184"/>
      <c r="G141" s="184"/>
      <c r="H141" s="184"/>
      <c r="I141" s="184"/>
      <c r="J141" s="184" t="s">
        <v>1331</v>
      </c>
      <c r="K141" s="184"/>
      <c r="L141" s="184"/>
      <c r="M141" s="185">
        <v>43585</v>
      </c>
      <c r="N141" s="185">
        <v>43589</v>
      </c>
      <c r="O141" s="186"/>
      <c r="P141" s="187">
        <v>5</v>
      </c>
      <c r="Q141" s="187">
        <v>0</v>
      </c>
      <c r="R141" s="188">
        <v>5</v>
      </c>
      <c r="S141" s="188">
        <v>0</v>
      </c>
      <c r="T141" s="185"/>
      <c r="U141" s="185"/>
      <c r="V141" s="189"/>
      <c r="W141" s="190">
        <v>0</v>
      </c>
      <c r="X141" s="191">
        <v>1</v>
      </c>
      <c r="Y141" s="216" t="s">
        <v>1125</v>
      </c>
      <c r="Z141" s="192"/>
      <c r="AA141" s="97">
        <v>0</v>
      </c>
      <c r="AB141" s="193">
        <v>0</v>
      </c>
      <c r="AC141" s="123"/>
      <c r="AD141" s="4"/>
      <c r="AE141" s="4"/>
      <c r="AF141" s="4"/>
      <c r="AG141" s="4"/>
      <c r="AH141" s="4"/>
      <c r="AI141" s="4"/>
      <c r="AJ141" s="4"/>
      <c r="AK141" s="4"/>
      <c r="AL141" s="4"/>
      <c r="AM141" s="4" t="str">
        <f>"  " &amp; TEXT(AB141,"#0.00%") &amp; " " &amp; "상품주문" &amp; "(류경호)" &amp; " " &amp; IF(M141="","",TEXT(M141,"M/D-")) &amp; IF(N141="","",TEXT(N141,"M/D")) &amp; " "</f>
        <v xml:space="preserve">  0.00% 상품주문(류경호) 4/30-5/4 </v>
      </c>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c r="EY141" s="4"/>
      <c r="EZ141" s="4"/>
      <c r="FA141" s="4"/>
      <c r="FB141" s="4"/>
      <c r="FC141" s="4"/>
      <c r="FD141" s="4"/>
      <c r="FE141" s="4"/>
    </row>
    <row r="142" spans="1:161" outlineLevel="5">
      <c r="A142" s="116"/>
      <c r="B142" s="116"/>
      <c r="C142" s="116">
        <v>0</v>
      </c>
      <c r="D142" s="3"/>
      <c r="E142" s="184"/>
      <c r="F142" s="184"/>
      <c r="G142" s="184"/>
      <c r="H142" s="184"/>
      <c r="I142" s="184"/>
      <c r="J142" s="184"/>
      <c r="K142" s="184"/>
      <c r="L142" s="184"/>
      <c r="M142" s="185"/>
      <c r="N142" s="185"/>
      <c r="O142" s="186"/>
      <c r="P142" s="187"/>
      <c r="Q142" s="187"/>
      <c r="R142" s="188">
        <v>0</v>
      </c>
      <c r="S142" s="188">
        <v>0</v>
      </c>
      <c r="T142" s="185"/>
      <c r="U142" s="185"/>
      <c r="V142" s="189"/>
      <c r="W142" s="190">
        <v>0</v>
      </c>
      <c r="X142" s="191"/>
      <c r="Y142" s="186"/>
      <c r="Z142" s="192"/>
      <c r="AA142" s="97"/>
      <c r="AB142" s="193"/>
      <c r="AC142" s="123"/>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c r="EY142" s="4"/>
      <c r="EZ142" s="4"/>
      <c r="FA142" s="4"/>
      <c r="FB142" s="4"/>
      <c r="FC142" s="4"/>
      <c r="FD142" s="4"/>
      <c r="FE142" s="4"/>
    </row>
    <row r="143" spans="1:161" outlineLevel="3">
      <c r="A143" s="116"/>
      <c r="B143" s="116" t="s">
        <v>1071</v>
      </c>
      <c r="C143" s="116">
        <v>4</v>
      </c>
      <c r="D143" s="3" t="s">
        <v>1379</v>
      </c>
      <c r="E143" s="184"/>
      <c r="F143" s="184"/>
      <c r="G143" s="184"/>
      <c r="H143" s="217" t="s">
        <v>1375</v>
      </c>
      <c r="I143" s="184"/>
      <c r="J143" s="184"/>
      <c r="K143" s="184"/>
      <c r="L143" s="184"/>
      <c r="M143" s="185">
        <v>43591</v>
      </c>
      <c r="N143" s="185">
        <v>43602</v>
      </c>
      <c r="O143" s="186"/>
      <c r="P143" s="187">
        <v>16</v>
      </c>
      <c r="Q143" s="187">
        <v>0</v>
      </c>
      <c r="R143" s="188">
        <v>11</v>
      </c>
      <c r="S143" s="188">
        <v>0</v>
      </c>
      <c r="T143" s="185"/>
      <c r="U143" s="185"/>
      <c r="V143" s="189">
        <v>0</v>
      </c>
      <c r="W143" s="190">
        <v>0</v>
      </c>
      <c r="X143" s="191"/>
      <c r="Y143" s="186"/>
      <c r="Z143" s="192"/>
      <c r="AA143" s="97">
        <v>0</v>
      </c>
      <c r="AB143" s="193">
        <v>0</v>
      </c>
      <c r="AC143" s="123"/>
      <c r="AD143" s="4"/>
      <c r="AE143" s="4"/>
      <c r="AF143" s="4"/>
      <c r="AG143" s="4"/>
      <c r="AH143" s="4"/>
      <c r="AI143" s="4"/>
      <c r="AJ143" s="4"/>
      <c r="AK143" s="4"/>
      <c r="AL143" s="4"/>
      <c r="AM143" s="4"/>
      <c r="AN143" s="4" t="str">
        <f>" " &amp; TEXT(AB143,"#0.00%") &amp; " " &amp; "프로토 타입 발표" &amp; " " &amp; IF(M143="","",TEXT(M143,"M/D-")) &amp; IF(N143="","",TEXT(N143,"M/D")) &amp; " "</f>
        <v xml:space="preserve"> 0.00% 프로토 타입 발표 5/6-5/17 </v>
      </c>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c r="EY143" s="4"/>
      <c r="EZ143" s="4"/>
      <c r="FA143" s="4"/>
      <c r="FB143" s="4"/>
      <c r="FC143" s="4"/>
      <c r="FD143" s="4"/>
      <c r="FE143" s="4"/>
    </row>
    <row r="144" spans="1:161" outlineLevel="4">
      <c r="A144" s="116"/>
      <c r="B144" s="116"/>
      <c r="C144" s="116">
        <v>5</v>
      </c>
      <c r="D144" s="3" t="s">
        <v>1380</v>
      </c>
      <c r="E144" s="184"/>
      <c r="F144" s="184"/>
      <c r="G144" s="184"/>
      <c r="H144" s="184"/>
      <c r="I144" s="184" t="s">
        <v>1376</v>
      </c>
      <c r="J144" s="184"/>
      <c r="K144" s="184"/>
      <c r="L144" s="184"/>
      <c r="M144" s="185">
        <v>43595</v>
      </c>
      <c r="N144" s="185">
        <v>43599</v>
      </c>
      <c r="O144" s="186"/>
      <c r="P144" s="187">
        <v>5</v>
      </c>
      <c r="Q144" s="187">
        <v>0</v>
      </c>
      <c r="R144" s="188">
        <v>5</v>
      </c>
      <c r="S144" s="188">
        <v>0</v>
      </c>
      <c r="T144" s="185"/>
      <c r="U144" s="185"/>
      <c r="V144" s="189"/>
      <c r="W144" s="190">
        <v>0</v>
      </c>
      <c r="X144" s="191">
        <v>1</v>
      </c>
      <c r="Y144" s="216" t="s">
        <v>1129</v>
      </c>
      <c r="Z144" s="192"/>
      <c r="AA144" s="97">
        <v>0</v>
      </c>
      <c r="AB144" s="193">
        <v>0</v>
      </c>
      <c r="AC144" s="123"/>
      <c r="AD144" s="4"/>
      <c r="AE144" s="4"/>
      <c r="AF144" s="4"/>
      <c r="AG144" s="4"/>
      <c r="AH144" s="4"/>
      <c r="AI144" s="4"/>
      <c r="AJ144" s="4"/>
      <c r="AK144" s="4"/>
      <c r="AL144" s="4"/>
      <c r="AM144" s="4"/>
      <c r="AN144" s="4" t="str">
        <f>"     " &amp; TEXT(AB144,"#0.00%") &amp; " " &amp; "PPT 작성" &amp; "(김가연)" &amp; " " &amp; IF(M144="","",TEXT(M144,"M/D-")) &amp; IF(N144="","",TEXT(N144,"M/D")) &amp; " "</f>
        <v xml:space="preserve">     0.00% PPT 작성(김가연) 5/10-5/14 </v>
      </c>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c r="EY144" s="4"/>
      <c r="EZ144" s="4"/>
      <c r="FA144" s="4"/>
      <c r="FB144" s="4"/>
      <c r="FC144" s="4"/>
      <c r="FD144" s="4"/>
      <c r="FE144" s="4"/>
    </row>
    <row r="145" spans="1:161" outlineLevel="4">
      <c r="A145" s="116"/>
      <c r="B145" s="116"/>
      <c r="C145" s="116">
        <v>5</v>
      </c>
      <c r="D145" s="3" t="s">
        <v>1381</v>
      </c>
      <c r="E145" s="184"/>
      <c r="F145" s="184"/>
      <c r="G145" s="184"/>
      <c r="H145" s="184"/>
      <c r="I145" s="184" t="s">
        <v>1377</v>
      </c>
      <c r="J145" s="184"/>
      <c r="K145" s="184"/>
      <c r="L145" s="184"/>
      <c r="M145" s="185">
        <v>43591</v>
      </c>
      <c r="N145" s="185">
        <v>43599</v>
      </c>
      <c r="O145" s="186"/>
      <c r="P145" s="187">
        <v>8</v>
      </c>
      <c r="Q145" s="187">
        <v>0</v>
      </c>
      <c r="R145" s="188">
        <v>8</v>
      </c>
      <c r="S145" s="188">
        <v>0</v>
      </c>
      <c r="T145" s="185"/>
      <c r="U145" s="185"/>
      <c r="V145" s="189"/>
      <c r="W145" s="190">
        <v>0</v>
      </c>
      <c r="X145" s="191">
        <v>1</v>
      </c>
      <c r="Y145" s="216" t="s">
        <v>1132</v>
      </c>
      <c r="Z145" s="192"/>
      <c r="AA145" s="97">
        <v>0</v>
      </c>
      <c r="AB145" s="193">
        <v>0</v>
      </c>
      <c r="AC145" s="123"/>
      <c r="AD145" s="4"/>
      <c r="AE145" s="4"/>
      <c r="AF145" s="4"/>
      <c r="AG145" s="4"/>
      <c r="AH145" s="4"/>
      <c r="AI145" s="4"/>
      <c r="AJ145" s="4"/>
      <c r="AK145" s="4"/>
      <c r="AL145" s="4"/>
      <c r="AM145" s="4"/>
      <c r="AN145" s="4" t="str">
        <f>" " &amp; TEXT(AB145,"#0.00%") &amp; " " &amp; "발표 준비" &amp; "(송주헌)" &amp; " " &amp; IF(M145="","",TEXT(M145,"M/D-")) &amp; IF(N145="","",TEXT(N145,"M/D")) &amp; " "</f>
        <v xml:space="preserve"> 0.00% 발표 준비(송주헌) 5/6-5/14 </v>
      </c>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c r="EY145" s="4"/>
      <c r="EZ145" s="4"/>
      <c r="FA145" s="4"/>
      <c r="FB145" s="4"/>
      <c r="FC145" s="4"/>
      <c r="FD145" s="4"/>
      <c r="FE145" s="4"/>
    </row>
    <row r="146" spans="1:161" outlineLevel="4">
      <c r="A146" s="116"/>
      <c r="B146" s="116"/>
      <c r="C146" s="116">
        <v>5</v>
      </c>
      <c r="D146" s="3" t="s">
        <v>1382</v>
      </c>
      <c r="E146" s="184"/>
      <c r="F146" s="184"/>
      <c r="G146" s="184"/>
      <c r="H146" s="184"/>
      <c r="I146" s="184" t="s">
        <v>1378</v>
      </c>
      <c r="J146" s="184"/>
      <c r="K146" s="184"/>
      <c r="L146" s="184"/>
      <c r="M146" s="185">
        <v>43600</v>
      </c>
      <c r="N146" s="185">
        <v>43602</v>
      </c>
      <c r="O146" s="186"/>
      <c r="P146" s="187">
        <v>3</v>
      </c>
      <c r="Q146" s="187">
        <v>0</v>
      </c>
      <c r="R146" s="188">
        <v>3</v>
      </c>
      <c r="S146" s="188">
        <v>0</v>
      </c>
      <c r="T146" s="185"/>
      <c r="U146" s="185"/>
      <c r="V146" s="189"/>
      <c r="W146" s="190">
        <v>0</v>
      </c>
      <c r="X146" s="191">
        <v>1</v>
      </c>
      <c r="Y146" s="216" t="s">
        <v>1123</v>
      </c>
      <c r="Z146" s="192"/>
      <c r="AA146" s="97">
        <v>0</v>
      </c>
      <c r="AB146" s="193">
        <v>0</v>
      </c>
      <c r="AC146" s="123"/>
      <c r="AD146" s="4"/>
      <c r="AE146" s="4"/>
      <c r="AF146" s="4"/>
      <c r="AG146" s="4"/>
      <c r="AH146" s="4"/>
      <c r="AI146" s="4"/>
      <c r="AJ146" s="4"/>
      <c r="AK146" s="4"/>
      <c r="AL146" s="4"/>
      <c r="AM146" s="4"/>
      <c r="AN146" s="4"/>
      <c r="AO146" s="4" t="str">
        <f>"   " &amp; TEXT(AB146,"#0.00%") &amp; " " &amp; "프로토타입 결과분석 보고서 작성" &amp; "(김도형)" &amp; " " &amp; IF(M146="","",TEXT(M146,"M/D-")) &amp; IF(N146="","",TEXT(N146,"M/D")) &amp; " "</f>
        <v xml:space="preserve">   0.00% 프로토타입 결과분석 보고서 작성(김도형) 5/15-5/17 </v>
      </c>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c r="DW146" s="4"/>
      <c r="DX146" s="4"/>
      <c r="DY146" s="4"/>
      <c r="DZ146" s="4"/>
      <c r="EA146" s="4"/>
      <c r="EB146" s="4"/>
      <c r="EC146" s="4"/>
      <c r="ED146" s="4"/>
      <c r="EE146" s="4"/>
      <c r="EF146" s="4"/>
      <c r="EG146" s="4"/>
      <c r="EH146" s="4"/>
      <c r="EI146" s="4"/>
      <c r="EJ146" s="4"/>
      <c r="EK146" s="4"/>
      <c r="EL146" s="4"/>
      <c r="EM146" s="4"/>
      <c r="EN146" s="4"/>
      <c r="EO146" s="4"/>
      <c r="EP146" s="4"/>
      <c r="EQ146" s="4"/>
      <c r="ER146" s="4"/>
      <c r="ES146" s="4"/>
      <c r="ET146" s="4"/>
      <c r="EU146" s="4"/>
      <c r="EV146" s="4"/>
      <c r="EW146" s="4"/>
      <c r="EX146" s="4"/>
      <c r="EY146" s="4"/>
      <c r="EZ146" s="4"/>
      <c r="FA146" s="4"/>
      <c r="FB146" s="4"/>
      <c r="FC146" s="4"/>
      <c r="FD146" s="4"/>
      <c r="FE146" s="4"/>
    </row>
    <row r="147" spans="1:161">
      <c r="A147" s="194"/>
      <c r="B147" s="194"/>
      <c r="C147" s="194"/>
      <c r="D147" s="195"/>
      <c r="E147" s="196"/>
      <c r="F147" s="196"/>
      <c r="G147" s="196"/>
      <c r="H147" s="196"/>
      <c r="I147" s="196"/>
      <c r="J147" s="196"/>
      <c r="K147" s="196"/>
      <c r="L147" s="196"/>
      <c r="M147" s="197"/>
      <c r="N147" s="197"/>
      <c r="O147" s="198"/>
      <c r="P147" s="199"/>
      <c r="Q147" s="199"/>
      <c r="R147" s="200"/>
      <c r="S147" s="200"/>
      <c r="T147" s="197"/>
      <c r="U147" s="197"/>
      <c r="V147" s="201"/>
      <c r="W147" s="202"/>
      <c r="X147" s="203"/>
      <c r="Y147" s="198"/>
      <c r="Z147" s="204"/>
      <c r="AA147" s="205"/>
      <c r="AB147" s="206"/>
      <c r="AC147" s="182"/>
      <c r="AD147" s="182"/>
      <c r="AE147" s="182"/>
      <c r="AF147" s="182"/>
      <c r="AG147" s="182"/>
      <c r="AH147" s="182"/>
      <c r="AI147" s="182"/>
      <c r="AJ147" s="182"/>
      <c r="AK147" s="182"/>
      <c r="AL147" s="182"/>
      <c r="AM147" s="182"/>
      <c r="AN147" s="182"/>
      <c r="AO147" s="182"/>
      <c r="AP147" s="182"/>
      <c r="AQ147" s="182"/>
      <c r="AR147" s="182"/>
      <c r="AS147" s="182"/>
      <c r="AT147" s="182"/>
      <c r="AU147" s="182"/>
      <c r="AV147" s="182"/>
      <c r="AW147" s="182"/>
      <c r="AX147" s="182"/>
      <c r="AY147" s="182"/>
      <c r="AZ147" s="182"/>
      <c r="BA147" s="182"/>
      <c r="BB147" s="182"/>
      <c r="BC147" s="182"/>
      <c r="BD147" s="182"/>
      <c r="BE147" s="182"/>
      <c r="BF147" s="182"/>
      <c r="BG147" s="182"/>
      <c r="BH147" s="182"/>
      <c r="BI147" s="182"/>
      <c r="BJ147" s="182"/>
      <c r="BK147" s="182"/>
      <c r="BL147" s="182"/>
      <c r="BM147" s="182"/>
      <c r="BN147" s="182"/>
      <c r="BO147" s="182"/>
      <c r="BP147" s="182"/>
      <c r="BQ147" s="182"/>
      <c r="BR147" s="182"/>
      <c r="BS147" s="182"/>
      <c r="BT147" s="182"/>
      <c r="BU147" s="182"/>
      <c r="BV147" s="182"/>
      <c r="BW147" s="182"/>
      <c r="BX147" s="182"/>
      <c r="BY147" s="182"/>
      <c r="BZ147" s="182"/>
      <c r="CA147" s="182"/>
      <c r="CB147" s="182"/>
      <c r="CC147" s="182"/>
      <c r="CD147" s="182"/>
      <c r="CE147" s="182"/>
      <c r="CF147" s="182"/>
      <c r="CG147" s="182"/>
      <c r="CH147" s="182"/>
      <c r="CI147" s="182"/>
      <c r="CJ147" s="182"/>
      <c r="CK147" s="182"/>
      <c r="CL147" s="182"/>
      <c r="CM147" s="182"/>
      <c r="CN147" s="182"/>
      <c r="CO147" s="182"/>
      <c r="CP147" s="182"/>
      <c r="CQ147" s="182"/>
      <c r="CR147" s="182"/>
      <c r="CS147" s="182"/>
      <c r="CT147" s="182"/>
      <c r="CU147" s="182"/>
      <c r="CV147" s="182"/>
      <c r="CW147" s="182"/>
      <c r="CX147" s="182"/>
      <c r="CY147" s="182"/>
      <c r="CZ147" s="182"/>
      <c r="DA147" s="182"/>
      <c r="DB147" s="182"/>
      <c r="DC147" s="182"/>
      <c r="DD147" s="182"/>
      <c r="DE147" s="182"/>
      <c r="DF147" s="182"/>
      <c r="DG147" s="182"/>
      <c r="DH147" s="182"/>
      <c r="DI147" s="182"/>
      <c r="DJ147" s="182"/>
      <c r="DK147" s="182"/>
      <c r="DL147" s="182"/>
      <c r="DM147" s="182"/>
      <c r="DN147" s="182"/>
      <c r="DO147" s="182"/>
      <c r="DP147" s="182"/>
      <c r="DQ147" s="182"/>
      <c r="DR147" s="182"/>
      <c r="DS147" s="182"/>
      <c r="DT147" s="182"/>
      <c r="DU147" s="182"/>
      <c r="DV147" s="182"/>
      <c r="DW147" s="182"/>
      <c r="DX147" s="182"/>
      <c r="DY147" s="182"/>
      <c r="DZ147" s="182"/>
      <c r="EA147" s="182"/>
      <c r="EB147" s="182"/>
      <c r="EC147" s="182"/>
      <c r="ED147" s="182"/>
      <c r="EE147" s="182"/>
      <c r="EF147" s="182"/>
      <c r="EG147" s="182"/>
      <c r="EH147" s="182"/>
      <c r="EI147" s="182"/>
      <c r="EJ147" s="182"/>
      <c r="EK147" s="182"/>
      <c r="EL147" s="182"/>
      <c r="EM147" s="182"/>
      <c r="EN147" s="182"/>
      <c r="EO147" s="182"/>
      <c r="EP147" s="182"/>
      <c r="EQ147" s="182"/>
      <c r="ER147" s="182"/>
      <c r="ES147" s="182"/>
      <c r="ET147" s="182"/>
      <c r="EU147" s="182"/>
      <c r="EV147" s="182"/>
      <c r="EW147" s="182"/>
      <c r="EX147" s="182"/>
      <c r="EY147" s="182"/>
      <c r="EZ147" s="182"/>
      <c r="FA147" s="182"/>
      <c r="FB147" s="182"/>
      <c r="FC147" s="182"/>
      <c r="FD147" s="182"/>
      <c r="FE147" s="182"/>
    </row>
    <row r="148" spans="1:161">
      <c r="A148" s="116"/>
      <c r="B148" s="116"/>
      <c r="C148" s="116"/>
      <c r="D148" s="3"/>
      <c r="E148" s="184"/>
      <c r="F148" s="184"/>
      <c r="G148" s="184"/>
      <c r="H148" s="184"/>
      <c r="I148" s="184"/>
      <c r="J148" s="184"/>
      <c r="K148" s="184"/>
      <c r="L148" s="184"/>
      <c r="M148" s="185"/>
      <c r="N148" s="185"/>
      <c r="O148" s="186"/>
      <c r="P148" s="187"/>
      <c r="Q148" s="187"/>
      <c r="R148" s="188"/>
      <c r="S148" s="188"/>
      <c r="T148" s="185"/>
      <c r="U148" s="185"/>
      <c r="V148" s="189"/>
      <c r="W148" s="190"/>
      <c r="X148" s="191"/>
      <c r="Y148" s="186"/>
      <c r="Z148" s="192"/>
      <c r="AA148" s="97"/>
      <c r="AB148" s="193"/>
    </row>
    <row r="149" spans="1:161">
      <c r="A149" s="116"/>
      <c r="B149" s="116"/>
      <c r="C149" s="116"/>
      <c r="D149" s="3"/>
      <c r="E149" s="184"/>
      <c r="F149" s="184"/>
      <c r="G149" s="184"/>
      <c r="H149" s="184"/>
      <c r="I149" s="184"/>
      <c r="J149" s="184"/>
      <c r="K149" s="184"/>
      <c r="L149" s="184"/>
      <c r="M149" s="185"/>
      <c r="N149" s="185"/>
      <c r="O149" s="186"/>
      <c r="P149" s="187"/>
      <c r="Q149" s="187"/>
      <c r="R149" s="188"/>
      <c r="S149" s="188"/>
      <c r="T149" s="185"/>
      <c r="U149" s="185"/>
      <c r="V149" s="189"/>
      <c r="W149" s="190"/>
      <c r="X149" s="191"/>
      <c r="Y149" s="186"/>
      <c r="Z149" s="192"/>
      <c r="AA149" s="97"/>
      <c r="AB149" s="193"/>
    </row>
    <row r="150" spans="1:161">
      <c r="A150" s="116"/>
      <c r="B150" s="116"/>
      <c r="C150" s="116"/>
      <c r="D150" s="3"/>
      <c r="E150" s="184"/>
      <c r="F150" s="184"/>
      <c r="G150" s="184"/>
      <c r="H150" s="184"/>
      <c r="I150" s="184"/>
      <c r="J150" s="184"/>
      <c r="K150" s="184"/>
      <c r="L150" s="184"/>
      <c r="M150" s="185"/>
      <c r="N150" s="185"/>
      <c r="O150" s="186"/>
      <c r="P150" s="187"/>
      <c r="Q150" s="187"/>
      <c r="R150" s="188"/>
      <c r="S150" s="188"/>
      <c r="T150" s="185"/>
      <c r="U150" s="185"/>
      <c r="V150" s="189"/>
      <c r="W150" s="190"/>
      <c r="X150" s="191"/>
      <c r="Y150" s="186"/>
      <c r="Z150" s="192"/>
      <c r="AA150" s="97"/>
      <c r="AB150" s="193"/>
    </row>
    <row r="151" spans="1:161">
      <c r="A151" s="116"/>
      <c r="B151" s="116"/>
      <c r="C151" s="116"/>
      <c r="D151" s="3"/>
      <c r="E151" s="184"/>
      <c r="F151" s="184"/>
      <c r="G151" s="184"/>
      <c r="H151" s="184"/>
      <c r="I151" s="184"/>
      <c r="J151" s="184"/>
      <c r="K151" s="184"/>
      <c r="L151" s="184"/>
      <c r="M151" s="185"/>
      <c r="N151" s="185"/>
      <c r="O151" s="186"/>
      <c r="P151" s="187"/>
      <c r="Q151" s="187"/>
      <c r="R151" s="188"/>
      <c r="S151" s="188"/>
      <c r="T151" s="185"/>
      <c r="U151" s="185"/>
      <c r="V151" s="189"/>
      <c r="W151" s="190"/>
      <c r="X151" s="191"/>
      <c r="Y151" s="186"/>
      <c r="Z151" s="192"/>
      <c r="AA151" s="97"/>
      <c r="AB151" s="193"/>
    </row>
    <row r="152" spans="1:161">
      <c r="A152" s="116"/>
      <c r="B152" s="116"/>
      <c r="C152" s="116"/>
      <c r="D152" s="3"/>
      <c r="E152" s="184"/>
      <c r="F152" s="184"/>
      <c r="G152" s="184"/>
      <c r="H152" s="184"/>
      <c r="I152" s="184"/>
      <c r="J152" s="184"/>
      <c r="K152" s="184"/>
      <c r="L152" s="184"/>
      <c r="M152" s="185"/>
      <c r="N152" s="185"/>
      <c r="O152" s="186"/>
      <c r="P152" s="187"/>
      <c r="Q152" s="187"/>
      <c r="R152" s="188"/>
      <c r="S152" s="188"/>
      <c r="T152" s="185"/>
      <c r="U152" s="185"/>
      <c r="V152" s="189"/>
      <c r="W152" s="190"/>
      <c r="X152" s="191"/>
      <c r="Y152" s="186"/>
      <c r="Z152" s="192"/>
      <c r="AA152" s="97"/>
      <c r="AB152" s="193"/>
    </row>
    <row r="153" spans="1:161">
      <c r="A153" s="116"/>
      <c r="B153" s="116"/>
      <c r="C153" s="116"/>
      <c r="D153" s="3"/>
      <c r="E153" s="184"/>
      <c r="F153" s="184"/>
      <c r="G153" s="184"/>
      <c r="H153" s="184"/>
      <c r="I153" s="184"/>
      <c r="J153" s="184"/>
      <c r="K153" s="184"/>
      <c r="L153" s="184"/>
      <c r="M153" s="185"/>
      <c r="N153" s="185"/>
      <c r="O153" s="186"/>
      <c r="P153" s="187"/>
      <c r="Q153" s="187"/>
      <c r="R153" s="188"/>
      <c r="S153" s="188"/>
      <c r="T153" s="185"/>
      <c r="U153" s="185"/>
      <c r="V153" s="189"/>
      <c r="W153" s="190"/>
      <c r="X153" s="191"/>
      <c r="Y153" s="186"/>
      <c r="Z153" s="192"/>
      <c r="AA153" s="97"/>
      <c r="AB153" s="193"/>
    </row>
    <row r="154" spans="1:161">
      <c r="A154" s="116"/>
      <c r="B154" s="116"/>
      <c r="C154" s="116"/>
      <c r="D154" s="3"/>
      <c r="E154" s="184"/>
      <c r="F154" s="184"/>
      <c r="G154" s="184"/>
      <c r="H154" s="184"/>
      <c r="I154" s="184"/>
      <c r="J154" s="184"/>
      <c r="K154" s="184"/>
      <c r="L154" s="184"/>
      <c r="M154" s="185"/>
      <c r="N154" s="185"/>
      <c r="O154" s="186"/>
      <c r="P154" s="187"/>
      <c r="Q154" s="187"/>
      <c r="R154" s="188"/>
      <c r="S154" s="188"/>
      <c r="T154" s="185"/>
      <c r="U154" s="185"/>
      <c r="V154" s="189"/>
      <c r="W154" s="190"/>
      <c r="X154" s="191"/>
      <c r="Y154" s="186"/>
      <c r="Z154" s="192"/>
      <c r="AA154" s="97"/>
      <c r="AB154" s="193"/>
    </row>
    <row r="155" spans="1:161">
      <c r="A155" s="116"/>
      <c r="B155" s="116"/>
      <c r="C155" s="116"/>
      <c r="D155" s="3"/>
      <c r="E155" s="184"/>
      <c r="F155" s="184"/>
      <c r="G155" s="184"/>
      <c r="H155" s="184"/>
      <c r="I155" s="184"/>
      <c r="J155" s="184"/>
      <c r="K155" s="184"/>
      <c r="L155" s="184"/>
      <c r="M155" s="185"/>
      <c r="N155" s="185"/>
      <c r="O155" s="186"/>
      <c r="P155" s="187"/>
      <c r="Q155" s="187"/>
      <c r="R155" s="188"/>
      <c r="S155" s="188"/>
      <c r="T155" s="185"/>
      <c r="U155" s="185"/>
      <c r="V155" s="189"/>
      <c r="W155" s="190"/>
      <c r="X155" s="191"/>
      <c r="Y155" s="186"/>
      <c r="Z155" s="192"/>
      <c r="AA155" s="97"/>
      <c r="AB155" s="193"/>
    </row>
    <row r="156" spans="1:161">
      <c r="A156" s="116"/>
      <c r="B156" s="116"/>
      <c r="C156" s="116"/>
      <c r="D156" s="3"/>
      <c r="E156" s="184"/>
      <c r="F156" s="184"/>
      <c r="G156" s="184"/>
      <c r="H156" s="184"/>
      <c r="I156" s="184"/>
      <c r="J156" s="184"/>
      <c r="K156" s="184"/>
      <c r="L156" s="184"/>
      <c r="M156" s="185"/>
      <c r="N156" s="185"/>
      <c r="O156" s="186"/>
      <c r="P156" s="187"/>
      <c r="Q156" s="187"/>
      <c r="R156" s="188"/>
      <c r="S156" s="188"/>
      <c r="T156" s="185"/>
      <c r="U156" s="185"/>
      <c r="V156" s="189"/>
      <c r="W156" s="190"/>
      <c r="X156" s="191"/>
      <c r="Y156" s="186"/>
      <c r="Z156" s="192"/>
      <c r="AA156" s="97"/>
      <c r="AB156" s="193"/>
    </row>
    <row r="157" spans="1:161">
      <c r="A157" s="116"/>
      <c r="B157" s="116"/>
      <c r="C157" s="116"/>
      <c r="D157" s="3"/>
      <c r="E157" s="184"/>
      <c r="F157" s="184"/>
      <c r="G157" s="184"/>
      <c r="H157" s="184"/>
      <c r="I157" s="184"/>
      <c r="J157" s="184"/>
      <c r="K157" s="184"/>
      <c r="L157" s="184"/>
      <c r="M157" s="185"/>
      <c r="N157" s="185"/>
      <c r="O157" s="186"/>
      <c r="P157" s="187"/>
      <c r="Q157" s="187"/>
      <c r="R157" s="188"/>
      <c r="S157" s="188"/>
      <c r="T157" s="185"/>
      <c r="U157" s="185"/>
      <c r="V157" s="189"/>
      <c r="W157" s="190"/>
      <c r="X157" s="191"/>
      <c r="Y157" s="186"/>
      <c r="Z157" s="192"/>
      <c r="AA157" s="97"/>
      <c r="AB157" s="193"/>
    </row>
    <row r="158" spans="1:161">
      <c r="A158" s="116"/>
      <c r="B158" s="116"/>
      <c r="C158" s="116"/>
      <c r="D158" s="3"/>
      <c r="E158" s="184"/>
      <c r="F158" s="184"/>
      <c r="G158" s="184"/>
      <c r="H158" s="184"/>
      <c r="I158" s="184"/>
      <c r="J158" s="184"/>
      <c r="K158" s="184"/>
      <c r="L158" s="184"/>
      <c r="M158" s="185"/>
      <c r="N158" s="185"/>
      <c r="O158" s="186"/>
      <c r="P158" s="187"/>
      <c r="Q158" s="187"/>
      <c r="R158" s="188"/>
      <c r="S158" s="188"/>
      <c r="T158" s="185"/>
      <c r="U158" s="185"/>
      <c r="V158" s="189"/>
      <c r="W158" s="190"/>
      <c r="X158" s="191"/>
      <c r="Y158" s="186"/>
      <c r="Z158" s="192"/>
      <c r="AA158" s="97"/>
      <c r="AB158" s="193"/>
    </row>
    <row r="159" spans="1:161">
      <c r="A159" s="116"/>
      <c r="B159" s="116"/>
      <c r="C159" s="116"/>
      <c r="D159" s="3"/>
      <c r="E159" s="184"/>
      <c r="F159" s="184"/>
      <c r="G159" s="184"/>
      <c r="H159" s="184"/>
      <c r="I159" s="184"/>
      <c r="J159" s="184"/>
      <c r="K159" s="184"/>
      <c r="L159" s="184"/>
      <c r="M159" s="185"/>
      <c r="N159" s="185"/>
      <c r="O159" s="186"/>
      <c r="P159" s="187"/>
      <c r="Q159" s="187"/>
      <c r="R159" s="188"/>
      <c r="S159" s="188"/>
      <c r="T159" s="185"/>
      <c r="U159" s="185"/>
      <c r="V159" s="189"/>
      <c r="W159" s="190"/>
      <c r="X159" s="191"/>
      <c r="Y159" s="186"/>
      <c r="Z159" s="192"/>
      <c r="AA159" s="97"/>
      <c r="AB159" s="193"/>
    </row>
    <row r="160" spans="1:161">
      <c r="A160" s="116"/>
      <c r="B160" s="116"/>
      <c r="C160" s="116"/>
      <c r="D160" s="3"/>
      <c r="E160" s="184"/>
      <c r="F160" s="184"/>
      <c r="G160" s="184"/>
      <c r="H160" s="184"/>
      <c r="I160" s="184"/>
      <c r="J160" s="184"/>
      <c r="K160" s="184"/>
      <c r="L160" s="184"/>
      <c r="M160" s="185"/>
      <c r="N160" s="185"/>
      <c r="O160" s="186"/>
      <c r="P160" s="187"/>
      <c r="Q160" s="187"/>
      <c r="R160" s="188"/>
      <c r="S160" s="188"/>
      <c r="T160" s="185"/>
      <c r="U160" s="185"/>
      <c r="V160" s="189"/>
      <c r="W160" s="190"/>
      <c r="X160" s="191"/>
      <c r="Y160" s="186"/>
      <c r="Z160" s="192"/>
      <c r="AA160" s="97"/>
      <c r="AB160" s="193"/>
    </row>
    <row r="161" spans="1:28">
      <c r="A161" s="116"/>
      <c r="B161" s="116"/>
      <c r="C161" s="116"/>
      <c r="D161" s="3"/>
      <c r="E161" s="184"/>
      <c r="F161" s="184"/>
      <c r="G161" s="184"/>
      <c r="H161" s="184"/>
      <c r="I161" s="184"/>
      <c r="J161" s="184"/>
      <c r="K161" s="184"/>
      <c r="L161" s="184"/>
      <c r="M161" s="185"/>
      <c r="N161" s="185"/>
      <c r="O161" s="186"/>
      <c r="P161" s="187"/>
      <c r="Q161" s="187"/>
      <c r="R161" s="188"/>
      <c r="S161" s="188"/>
      <c r="T161" s="185"/>
      <c r="U161" s="185"/>
      <c r="V161" s="189"/>
      <c r="W161" s="190"/>
      <c r="X161" s="191"/>
      <c r="Y161" s="186"/>
      <c r="Z161" s="192"/>
      <c r="AA161" s="97"/>
      <c r="AB161" s="193"/>
    </row>
    <row r="162" spans="1:28">
      <c r="A162" s="116"/>
      <c r="B162" s="116"/>
      <c r="C162" s="116"/>
      <c r="D162" s="207"/>
      <c r="E162" s="184"/>
      <c r="F162" s="184"/>
      <c r="G162" s="184"/>
      <c r="H162" s="184"/>
      <c r="I162" s="184"/>
      <c r="J162" s="184"/>
      <c r="K162" s="184"/>
      <c r="L162" s="184"/>
      <c r="M162" s="185"/>
      <c r="N162" s="185"/>
      <c r="O162" s="186"/>
      <c r="P162" s="187"/>
      <c r="Q162" s="187"/>
      <c r="R162" s="188"/>
      <c r="S162" s="188"/>
      <c r="T162" s="185"/>
      <c r="U162" s="185"/>
      <c r="V162" s="189"/>
      <c r="W162" s="190"/>
      <c r="X162" s="191"/>
      <c r="Y162" s="186"/>
      <c r="Z162" s="192"/>
      <c r="AA162" s="97"/>
      <c r="AB162" s="193"/>
    </row>
    <row r="163" spans="1:28">
      <c r="A163" s="116"/>
      <c r="B163" s="116"/>
      <c r="C163" s="116"/>
      <c r="D163" s="3"/>
      <c r="E163" s="184"/>
      <c r="F163" s="184"/>
      <c r="G163" s="184"/>
      <c r="H163" s="184"/>
      <c r="I163" s="184"/>
      <c r="J163" s="184"/>
      <c r="K163" s="184"/>
      <c r="L163" s="184"/>
      <c r="M163" s="185"/>
      <c r="N163" s="185"/>
      <c r="O163" s="186"/>
      <c r="P163" s="187"/>
      <c r="Q163" s="187"/>
      <c r="R163" s="188"/>
      <c r="S163" s="188"/>
      <c r="T163" s="185"/>
      <c r="U163" s="185"/>
      <c r="V163" s="189"/>
      <c r="W163" s="190"/>
      <c r="X163" s="191"/>
      <c r="Y163" s="186"/>
      <c r="Z163" s="192"/>
      <c r="AA163" s="97"/>
      <c r="AB163" s="193"/>
    </row>
    <row r="164" spans="1:28">
      <c r="A164" s="116"/>
      <c r="B164" s="116"/>
      <c r="C164" s="116"/>
      <c r="D164" s="3"/>
      <c r="E164" s="184"/>
      <c r="F164" s="184"/>
      <c r="G164" s="184"/>
      <c r="H164" s="184"/>
      <c r="I164" s="184"/>
      <c r="J164" s="184"/>
      <c r="K164" s="184"/>
      <c r="L164" s="184"/>
      <c r="M164" s="185"/>
      <c r="N164" s="185"/>
      <c r="O164" s="186"/>
      <c r="P164" s="187"/>
      <c r="Q164" s="187"/>
      <c r="R164" s="188"/>
      <c r="S164" s="188"/>
      <c r="T164" s="185"/>
      <c r="U164" s="185"/>
      <c r="V164" s="189"/>
      <c r="W164" s="190"/>
      <c r="X164" s="191"/>
      <c r="Y164" s="186"/>
      <c r="Z164" s="192"/>
      <c r="AA164" s="97"/>
      <c r="AB164" s="193"/>
    </row>
    <row r="165" spans="1:28">
      <c r="A165" s="116"/>
      <c r="B165" s="116"/>
      <c r="C165" s="116"/>
      <c r="D165" s="3"/>
      <c r="E165" s="184"/>
      <c r="F165" s="184"/>
      <c r="G165" s="184"/>
      <c r="H165" s="184"/>
      <c r="I165" s="184"/>
      <c r="J165" s="184"/>
      <c r="K165" s="184"/>
      <c r="L165" s="184"/>
      <c r="M165" s="185"/>
      <c r="N165" s="185"/>
      <c r="O165" s="186"/>
      <c r="P165" s="187"/>
      <c r="Q165" s="187"/>
      <c r="R165" s="188"/>
      <c r="S165" s="188"/>
      <c r="T165" s="185"/>
      <c r="U165" s="185"/>
      <c r="V165" s="189"/>
      <c r="W165" s="190"/>
      <c r="X165" s="191"/>
      <c r="Y165" s="186"/>
      <c r="Z165" s="192"/>
      <c r="AA165" s="97"/>
      <c r="AB165" s="193"/>
    </row>
    <row r="166" spans="1:28">
      <c r="A166" s="116"/>
      <c r="B166" s="116"/>
      <c r="C166" s="116"/>
      <c r="D166" s="3"/>
      <c r="E166" s="184"/>
      <c r="F166" s="184"/>
      <c r="G166" s="184"/>
      <c r="H166" s="184"/>
      <c r="I166" s="184"/>
      <c r="J166" s="184"/>
      <c r="K166" s="184"/>
      <c r="L166" s="184"/>
      <c r="M166" s="185"/>
      <c r="N166" s="185"/>
      <c r="O166" s="186"/>
      <c r="P166" s="187"/>
      <c r="Q166" s="187"/>
      <c r="R166" s="188"/>
      <c r="S166" s="188"/>
      <c r="T166" s="185"/>
      <c r="U166" s="185"/>
      <c r="V166" s="189"/>
      <c r="W166" s="190"/>
      <c r="X166" s="191"/>
      <c r="Y166" s="186"/>
      <c r="Z166" s="192"/>
      <c r="AA166" s="97"/>
      <c r="AB166" s="193"/>
    </row>
    <row r="167" spans="1:28">
      <c r="A167" s="116"/>
      <c r="B167" s="116"/>
      <c r="C167" s="116"/>
      <c r="D167" s="3"/>
      <c r="E167" s="184"/>
      <c r="F167" s="184"/>
      <c r="G167" s="184"/>
      <c r="H167" s="184"/>
      <c r="I167" s="184"/>
      <c r="J167" s="184"/>
      <c r="K167" s="184"/>
      <c r="L167" s="184"/>
      <c r="M167" s="185"/>
      <c r="N167" s="185"/>
      <c r="O167" s="186"/>
      <c r="P167" s="187"/>
      <c r="Q167" s="187"/>
      <c r="R167" s="188"/>
      <c r="S167" s="188"/>
      <c r="T167" s="185"/>
      <c r="U167" s="185"/>
      <c r="V167" s="189"/>
      <c r="W167" s="190"/>
      <c r="X167" s="191"/>
      <c r="Y167" s="186"/>
      <c r="Z167" s="192"/>
      <c r="AA167" s="97"/>
      <c r="AB167" s="193"/>
    </row>
    <row r="168" spans="1:28">
      <c r="A168" s="116"/>
      <c r="B168" s="116"/>
      <c r="C168" s="116"/>
      <c r="D168" s="3"/>
      <c r="E168" s="184"/>
      <c r="F168" s="184"/>
      <c r="G168" s="184"/>
      <c r="H168" s="184"/>
      <c r="I168" s="184"/>
      <c r="J168" s="184"/>
      <c r="K168" s="184"/>
      <c r="L168" s="184"/>
      <c r="M168" s="185"/>
      <c r="N168" s="185"/>
      <c r="O168" s="186"/>
      <c r="P168" s="187"/>
      <c r="Q168" s="187"/>
      <c r="R168" s="188"/>
      <c r="S168" s="188"/>
      <c r="T168" s="185"/>
      <c r="U168" s="185"/>
      <c r="V168" s="189"/>
      <c r="W168" s="190"/>
      <c r="X168" s="191"/>
      <c r="Y168" s="186"/>
      <c r="Z168" s="192"/>
      <c r="AA168" s="97"/>
      <c r="AB168" s="193"/>
    </row>
    <row r="169" spans="1:28">
      <c r="A169" s="116"/>
      <c r="B169" s="116"/>
      <c r="C169" s="116"/>
      <c r="D169" s="3"/>
      <c r="E169" s="184"/>
      <c r="F169" s="184"/>
      <c r="G169" s="184"/>
      <c r="H169" s="184"/>
      <c r="I169" s="184"/>
      <c r="J169" s="184"/>
      <c r="K169" s="184"/>
      <c r="L169" s="184"/>
      <c r="M169" s="185"/>
      <c r="N169" s="185"/>
      <c r="O169" s="186"/>
      <c r="P169" s="187"/>
      <c r="Q169" s="187"/>
      <c r="R169" s="188"/>
      <c r="S169" s="188"/>
      <c r="T169" s="185"/>
      <c r="U169" s="185"/>
      <c r="V169" s="189"/>
      <c r="W169" s="190"/>
      <c r="X169" s="191"/>
      <c r="Y169" s="186"/>
      <c r="Z169" s="192"/>
      <c r="AA169" s="97"/>
      <c r="AB169" s="193"/>
    </row>
    <row r="170" spans="1:28">
      <c r="A170" s="116"/>
      <c r="B170" s="116"/>
      <c r="C170" s="116"/>
      <c r="D170" s="3"/>
      <c r="E170" s="184"/>
      <c r="F170" s="184"/>
      <c r="G170" s="184"/>
      <c r="H170" s="184"/>
      <c r="I170" s="184"/>
      <c r="J170" s="184"/>
      <c r="K170" s="184"/>
      <c r="L170" s="184"/>
      <c r="M170" s="185"/>
      <c r="N170" s="185"/>
      <c r="O170" s="186"/>
      <c r="P170" s="187"/>
      <c r="Q170" s="187"/>
      <c r="R170" s="188"/>
      <c r="S170" s="188"/>
      <c r="T170" s="185"/>
      <c r="U170" s="185"/>
      <c r="V170" s="189"/>
      <c r="W170" s="190"/>
      <c r="X170" s="191"/>
      <c r="Y170" s="186"/>
      <c r="Z170" s="192"/>
      <c r="AA170" s="97"/>
      <c r="AB170" s="193"/>
    </row>
    <row r="171" spans="1:28">
      <c r="A171" s="116"/>
      <c r="B171" s="116"/>
      <c r="C171" s="116"/>
      <c r="D171" s="3"/>
      <c r="E171" s="184"/>
      <c r="F171" s="184"/>
      <c r="G171" s="184"/>
      <c r="H171" s="184"/>
      <c r="I171" s="184"/>
      <c r="J171" s="184"/>
      <c r="K171" s="184"/>
      <c r="L171" s="184"/>
      <c r="M171" s="185"/>
      <c r="N171" s="185"/>
      <c r="O171" s="186"/>
      <c r="P171" s="187"/>
      <c r="Q171" s="187"/>
      <c r="R171" s="188"/>
      <c r="S171" s="188"/>
      <c r="T171" s="185"/>
      <c r="U171" s="185"/>
      <c r="V171" s="189"/>
      <c r="W171" s="190"/>
      <c r="X171" s="191"/>
      <c r="Y171" s="186"/>
      <c r="Z171" s="192"/>
      <c r="AA171" s="97"/>
      <c r="AB171" s="193"/>
    </row>
    <row r="172" spans="1:28">
      <c r="A172" s="116"/>
      <c r="B172" s="116"/>
      <c r="C172" s="116"/>
      <c r="D172" s="3"/>
      <c r="E172" s="184"/>
      <c r="F172" s="184"/>
      <c r="G172" s="184"/>
      <c r="H172" s="184"/>
      <c r="I172" s="184"/>
      <c r="J172" s="184"/>
      <c r="K172" s="184"/>
      <c r="L172" s="184"/>
      <c r="M172" s="185"/>
      <c r="N172" s="185"/>
      <c r="O172" s="186"/>
      <c r="P172" s="187"/>
      <c r="Q172" s="187"/>
      <c r="R172" s="188"/>
      <c r="S172" s="188"/>
      <c r="T172" s="185"/>
      <c r="U172" s="185"/>
      <c r="V172" s="189"/>
      <c r="W172" s="190"/>
      <c r="X172" s="191"/>
      <c r="Y172" s="186"/>
      <c r="Z172" s="192"/>
      <c r="AA172" s="97"/>
      <c r="AB172" s="193"/>
    </row>
    <row r="173" spans="1:28">
      <c r="A173" s="116"/>
      <c r="B173" s="116"/>
      <c r="C173" s="116"/>
      <c r="D173" s="3"/>
      <c r="E173" s="184"/>
      <c r="F173" s="184"/>
      <c r="G173" s="184"/>
      <c r="H173" s="184"/>
      <c r="I173" s="184"/>
      <c r="J173" s="184"/>
      <c r="K173" s="184"/>
      <c r="L173" s="184"/>
      <c r="M173" s="185"/>
      <c r="N173" s="185"/>
      <c r="O173" s="186"/>
      <c r="P173" s="187"/>
      <c r="Q173" s="187"/>
      <c r="R173" s="188"/>
      <c r="S173" s="188"/>
      <c r="T173" s="185"/>
      <c r="U173" s="185"/>
      <c r="V173" s="189"/>
      <c r="W173" s="190"/>
      <c r="X173" s="191"/>
      <c r="Y173" s="186"/>
      <c r="Z173" s="192"/>
      <c r="AA173" s="97"/>
      <c r="AB173" s="193"/>
    </row>
    <row r="174" spans="1:28">
      <c r="A174" s="116"/>
      <c r="B174" s="116"/>
      <c r="C174" s="116"/>
      <c r="D174" s="3"/>
      <c r="E174" s="184"/>
      <c r="F174" s="184"/>
      <c r="G174" s="184"/>
      <c r="H174" s="184"/>
      <c r="I174" s="184"/>
      <c r="J174" s="184"/>
      <c r="K174" s="184"/>
      <c r="L174" s="184"/>
      <c r="M174" s="185"/>
      <c r="N174" s="185"/>
      <c r="O174" s="186"/>
      <c r="P174" s="187"/>
      <c r="Q174" s="187"/>
      <c r="R174" s="188"/>
      <c r="S174" s="188"/>
      <c r="T174" s="185"/>
      <c r="U174" s="185"/>
      <c r="V174" s="189"/>
      <c r="W174" s="190"/>
      <c r="X174" s="191"/>
      <c r="Y174" s="186"/>
      <c r="Z174" s="192"/>
      <c r="AA174" s="97"/>
      <c r="AB174" s="193"/>
    </row>
    <row r="175" spans="1:28">
      <c r="A175" s="116"/>
      <c r="B175" s="116"/>
      <c r="C175" s="116"/>
      <c r="D175" s="3"/>
      <c r="E175" s="184"/>
      <c r="F175" s="184"/>
      <c r="G175" s="184"/>
      <c r="H175" s="184"/>
      <c r="I175" s="184"/>
      <c r="J175" s="184"/>
      <c r="K175" s="184"/>
      <c r="L175" s="184"/>
      <c r="M175" s="185"/>
      <c r="N175" s="185"/>
      <c r="O175" s="186"/>
      <c r="P175" s="187"/>
      <c r="Q175" s="187"/>
      <c r="R175" s="188"/>
      <c r="S175" s="188"/>
      <c r="T175" s="185"/>
      <c r="U175" s="185"/>
      <c r="V175" s="189"/>
      <c r="W175" s="190"/>
      <c r="X175" s="191"/>
      <c r="Y175" s="186"/>
      <c r="Z175" s="192"/>
      <c r="AA175" s="97"/>
      <c r="AB175" s="193"/>
    </row>
    <row r="176" spans="1:28">
      <c r="A176" s="116"/>
      <c r="B176" s="116"/>
      <c r="C176" s="116"/>
      <c r="D176" s="3"/>
      <c r="E176" s="184"/>
      <c r="F176" s="184"/>
      <c r="G176" s="184"/>
      <c r="H176" s="184"/>
      <c r="I176" s="184"/>
      <c r="J176" s="184"/>
      <c r="K176" s="184"/>
      <c r="L176" s="184"/>
      <c r="M176" s="185"/>
      <c r="N176" s="185"/>
      <c r="O176" s="186"/>
      <c r="P176" s="187"/>
      <c r="Q176" s="187"/>
      <c r="R176" s="188"/>
      <c r="S176" s="188"/>
      <c r="T176" s="185"/>
      <c r="U176" s="185"/>
      <c r="V176" s="189"/>
      <c r="W176" s="190"/>
      <c r="X176" s="191"/>
      <c r="Y176" s="186"/>
      <c r="Z176" s="192"/>
      <c r="AA176" s="97"/>
      <c r="AB176" s="193"/>
    </row>
    <row r="177" spans="1:28">
      <c r="A177" s="116"/>
      <c r="B177" s="116"/>
      <c r="C177" s="116"/>
      <c r="D177" s="3"/>
      <c r="E177" s="184"/>
      <c r="F177" s="184"/>
      <c r="G177" s="184"/>
      <c r="H177" s="184"/>
      <c r="I177" s="184"/>
      <c r="J177" s="184"/>
      <c r="K177" s="184"/>
      <c r="L177" s="184"/>
      <c r="M177" s="185"/>
      <c r="N177" s="185"/>
      <c r="O177" s="186"/>
      <c r="P177" s="187"/>
      <c r="Q177" s="187"/>
      <c r="R177" s="188"/>
      <c r="S177" s="188"/>
      <c r="T177" s="185"/>
      <c r="U177" s="185"/>
      <c r="V177" s="189"/>
      <c r="W177" s="190"/>
      <c r="X177" s="191"/>
      <c r="Y177" s="186"/>
      <c r="Z177" s="192"/>
      <c r="AA177" s="97"/>
      <c r="AB177" s="193"/>
    </row>
    <row r="178" spans="1:28">
      <c r="A178" s="116"/>
      <c r="B178" s="116"/>
      <c r="C178" s="116"/>
      <c r="D178" s="3"/>
      <c r="E178" s="184"/>
      <c r="F178" s="184"/>
      <c r="G178" s="184"/>
      <c r="H178" s="184"/>
      <c r="I178" s="184"/>
      <c r="J178" s="184"/>
      <c r="K178" s="184"/>
      <c r="L178" s="184"/>
      <c r="M178" s="185"/>
      <c r="N178" s="185"/>
      <c r="O178" s="186"/>
      <c r="P178" s="187"/>
      <c r="Q178" s="187"/>
      <c r="R178" s="188"/>
      <c r="S178" s="188"/>
      <c r="T178" s="185"/>
      <c r="U178" s="185"/>
      <c r="V178" s="189"/>
      <c r="W178" s="190"/>
      <c r="X178" s="191"/>
      <c r="Y178" s="186"/>
      <c r="Z178" s="192"/>
      <c r="AA178" s="97"/>
      <c r="AB178" s="193"/>
    </row>
    <row r="179" spans="1:28">
      <c r="A179" s="116"/>
      <c r="B179" s="116"/>
      <c r="C179" s="116"/>
      <c r="D179" s="3"/>
      <c r="E179" s="184"/>
      <c r="F179" s="184"/>
      <c r="G179" s="184"/>
      <c r="H179" s="184"/>
      <c r="I179" s="184"/>
      <c r="J179" s="184"/>
      <c r="K179" s="184"/>
      <c r="L179" s="184"/>
      <c r="M179" s="185"/>
      <c r="N179" s="185"/>
      <c r="O179" s="186"/>
      <c r="P179" s="187"/>
      <c r="Q179" s="187"/>
      <c r="R179" s="188"/>
      <c r="S179" s="188"/>
      <c r="T179" s="185"/>
      <c r="U179" s="185"/>
      <c r="V179" s="189"/>
      <c r="W179" s="190"/>
      <c r="X179" s="191"/>
      <c r="Y179" s="186"/>
      <c r="Z179" s="192"/>
      <c r="AA179" s="97"/>
      <c r="AB179" s="193"/>
    </row>
    <row r="180" spans="1:28">
      <c r="A180" s="116"/>
      <c r="B180" s="116"/>
      <c r="C180" s="116"/>
      <c r="D180" s="3"/>
      <c r="E180" s="184"/>
      <c r="F180" s="184"/>
      <c r="G180" s="184"/>
      <c r="H180" s="184"/>
      <c r="I180" s="184"/>
      <c r="J180" s="184"/>
      <c r="K180" s="184"/>
      <c r="L180" s="184"/>
      <c r="M180" s="185"/>
      <c r="N180" s="185"/>
      <c r="O180" s="186"/>
      <c r="P180" s="187"/>
      <c r="Q180" s="187"/>
      <c r="R180" s="188"/>
      <c r="S180" s="188"/>
      <c r="T180" s="185"/>
      <c r="U180" s="185"/>
      <c r="V180" s="189"/>
      <c r="W180" s="190"/>
      <c r="X180" s="191"/>
      <c r="Y180" s="186"/>
      <c r="Z180" s="192"/>
      <c r="AA180" s="97"/>
      <c r="AB180" s="193"/>
    </row>
    <row r="181" spans="1:28">
      <c r="A181" s="116"/>
      <c r="B181" s="116"/>
      <c r="C181" s="116"/>
      <c r="D181" s="3"/>
      <c r="E181" s="184"/>
      <c r="F181" s="184"/>
      <c r="G181" s="184"/>
      <c r="H181" s="184"/>
      <c r="I181" s="184"/>
      <c r="J181" s="184"/>
      <c r="K181" s="184"/>
      <c r="L181" s="184"/>
      <c r="M181" s="185"/>
      <c r="N181" s="185"/>
      <c r="O181" s="186"/>
      <c r="P181" s="187"/>
      <c r="Q181" s="187"/>
      <c r="R181" s="188"/>
      <c r="S181" s="188"/>
      <c r="T181" s="185"/>
      <c r="U181" s="185"/>
      <c r="V181" s="189"/>
      <c r="W181" s="190"/>
      <c r="X181" s="191"/>
      <c r="Y181" s="186"/>
      <c r="Z181" s="192"/>
      <c r="AA181" s="97"/>
      <c r="AB181" s="193"/>
    </row>
    <row r="182" spans="1:28">
      <c r="A182" s="116"/>
      <c r="B182" s="116"/>
      <c r="C182" s="116"/>
      <c r="D182" s="3"/>
      <c r="E182" s="184"/>
      <c r="F182" s="184"/>
      <c r="G182" s="184"/>
      <c r="H182" s="184"/>
      <c r="I182" s="184"/>
      <c r="J182" s="184"/>
      <c r="K182" s="184"/>
      <c r="L182" s="184"/>
      <c r="M182" s="185"/>
      <c r="N182" s="185"/>
      <c r="O182" s="186"/>
      <c r="P182" s="187"/>
      <c r="Q182" s="187"/>
      <c r="R182" s="188"/>
      <c r="S182" s="188"/>
      <c r="T182" s="185"/>
      <c r="U182" s="185"/>
      <c r="V182" s="189"/>
      <c r="W182" s="190"/>
      <c r="X182" s="191"/>
      <c r="Y182" s="186"/>
      <c r="Z182" s="192"/>
      <c r="AA182" s="97"/>
      <c r="AB182" s="193"/>
    </row>
    <row r="183" spans="1:28">
      <c r="A183" s="116"/>
      <c r="B183" s="116"/>
      <c r="C183" s="116"/>
      <c r="D183" s="3"/>
      <c r="E183" s="184"/>
      <c r="F183" s="184"/>
      <c r="G183" s="184"/>
      <c r="H183" s="184"/>
      <c r="I183" s="184"/>
      <c r="J183" s="184"/>
      <c r="K183" s="184"/>
      <c r="L183" s="184"/>
      <c r="M183" s="185"/>
      <c r="N183" s="185"/>
      <c r="O183" s="186"/>
      <c r="P183" s="187"/>
      <c r="Q183" s="187"/>
      <c r="R183" s="188"/>
      <c r="S183" s="188"/>
      <c r="T183" s="185"/>
      <c r="U183" s="185"/>
      <c r="V183" s="189"/>
      <c r="W183" s="190"/>
      <c r="X183" s="191"/>
      <c r="Y183" s="186"/>
      <c r="Z183" s="192"/>
      <c r="AA183" s="97"/>
      <c r="AB183" s="193"/>
    </row>
    <row r="184" spans="1:28">
      <c r="A184" s="116"/>
      <c r="B184" s="116"/>
      <c r="C184" s="116"/>
      <c r="D184" s="3"/>
      <c r="E184" s="184"/>
      <c r="F184" s="184"/>
      <c r="G184" s="184"/>
      <c r="H184" s="184"/>
      <c r="I184" s="184"/>
      <c r="J184" s="184"/>
      <c r="K184" s="184"/>
      <c r="L184" s="184"/>
      <c r="M184" s="185"/>
      <c r="N184" s="185"/>
      <c r="O184" s="186"/>
      <c r="P184" s="187"/>
      <c r="Q184" s="187"/>
      <c r="R184" s="188"/>
      <c r="S184" s="188"/>
      <c r="T184" s="185"/>
      <c r="U184" s="185"/>
      <c r="V184" s="189"/>
      <c r="W184" s="190"/>
      <c r="X184" s="191"/>
      <c r="Y184" s="186"/>
      <c r="Z184" s="192"/>
      <c r="AA184" s="97"/>
      <c r="AB184" s="193"/>
    </row>
    <row r="185" spans="1:28">
      <c r="A185" s="116"/>
      <c r="B185" s="116"/>
      <c r="C185" s="116"/>
      <c r="D185" s="3"/>
      <c r="E185" s="184"/>
      <c r="F185" s="184"/>
      <c r="G185" s="184"/>
      <c r="H185" s="184"/>
      <c r="I185" s="184"/>
      <c r="J185" s="184"/>
      <c r="K185" s="184"/>
      <c r="L185" s="184"/>
      <c r="M185" s="185"/>
      <c r="N185" s="185"/>
      <c r="O185" s="186"/>
      <c r="P185" s="187"/>
      <c r="Q185" s="187"/>
      <c r="R185" s="188"/>
      <c r="S185" s="188"/>
      <c r="T185" s="185"/>
      <c r="U185" s="185"/>
      <c r="V185" s="189"/>
      <c r="W185" s="190"/>
      <c r="X185" s="191"/>
      <c r="Y185" s="186"/>
      <c r="Z185" s="192"/>
      <c r="AA185" s="97"/>
      <c r="AB185" s="193"/>
    </row>
    <row r="186" spans="1:28">
      <c r="A186" s="116"/>
      <c r="B186" s="116"/>
      <c r="C186" s="116"/>
      <c r="D186" s="3"/>
      <c r="E186" s="184"/>
      <c r="F186" s="184"/>
      <c r="G186" s="184"/>
      <c r="H186" s="184"/>
      <c r="I186" s="184"/>
      <c r="J186" s="184"/>
      <c r="K186" s="184"/>
      <c r="L186" s="184"/>
      <c r="M186" s="185"/>
      <c r="N186" s="185"/>
      <c r="O186" s="186"/>
      <c r="P186" s="187"/>
      <c r="Q186" s="187"/>
      <c r="R186" s="188"/>
      <c r="S186" s="188"/>
      <c r="T186" s="185"/>
      <c r="U186" s="185"/>
      <c r="V186" s="189"/>
      <c r="W186" s="190"/>
      <c r="X186" s="191"/>
      <c r="Y186" s="186"/>
      <c r="Z186" s="192"/>
      <c r="AA186" s="97"/>
      <c r="AB186" s="193"/>
    </row>
    <row r="187" spans="1:28">
      <c r="A187" s="116"/>
      <c r="B187" s="116"/>
      <c r="C187" s="116"/>
      <c r="D187" s="3"/>
      <c r="E187" s="184"/>
      <c r="F187" s="184"/>
      <c r="G187" s="184"/>
      <c r="H187" s="184"/>
      <c r="I187" s="184"/>
      <c r="J187" s="184"/>
      <c r="K187" s="184"/>
      <c r="L187" s="184"/>
      <c r="M187" s="185"/>
      <c r="N187" s="185"/>
      <c r="O187" s="186"/>
      <c r="P187" s="187"/>
      <c r="Q187" s="187"/>
      <c r="R187" s="188"/>
      <c r="S187" s="188"/>
      <c r="T187" s="185"/>
      <c r="U187" s="185"/>
      <c r="V187" s="189"/>
      <c r="W187" s="190"/>
      <c r="X187" s="191"/>
      <c r="Y187" s="186"/>
      <c r="Z187" s="192"/>
      <c r="AA187" s="97"/>
      <c r="AB187" s="193"/>
    </row>
    <row r="188" spans="1:28">
      <c r="A188" s="116"/>
      <c r="B188" s="116"/>
      <c r="C188" s="116"/>
      <c r="D188" s="3"/>
      <c r="E188" s="184"/>
      <c r="F188" s="184"/>
      <c r="G188" s="184"/>
      <c r="H188" s="184"/>
      <c r="I188" s="184"/>
      <c r="J188" s="184"/>
      <c r="K188" s="184"/>
      <c r="L188" s="184"/>
      <c r="M188" s="185"/>
      <c r="N188" s="185"/>
      <c r="O188" s="186"/>
      <c r="P188" s="187"/>
      <c r="Q188" s="187"/>
      <c r="R188" s="188"/>
      <c r="S188" s="188"/>
      <c r="T188" s="185"/>
      <c r="U188" s="185"/>
      <c r="V188" s="189"/>
      <c r="W188" s="190"/>
      <c r="X188" s="191"/>
      <c r="Y188" s="186"/>
      <c r="Z188" s="192"/>
      <c r="AA188" s="97"/>
      <c r="AB188" s="193"/>
    </row>
    <row r="189" spans="1:28">
      <c r="A189" s="116"/>
      <c r="B189" s="116"/>
      <c r="C189" s="116"/>
      <c r="D189" s="3"/>
      <c r="E189" s="184"/>
      <c r="F189" s="184"/>
      <c r="G189" s="184"/>
      <c r="H189" s="184"/>
      <c r="I189" s="184"/>
      <c r="J189" s="184"/>
      <c r="K189" s="184"/>
      <c r="L189" s="184"/>
      <c r="M189" s="185"/>
      <c r="N189" s="185"/>
      <c r="O189" s="186"/>
      <c r="P189" s="187"/>
      <c r="Q189" s="187"/>
      <c r="R189" s="188"/>
      <c r="S189" s="188"/>
      <c r="T189" s="185"/>
      <c r="U189" s="185"/>
      <c r="V189" s="189"/>
      <c r="W189" s="190"/>
      <c r="X189" s="191"/>
      <c r="Y189" s="186"/>
      <c r="Z189" s="192"/>
      <c r="AA189" s="97"/>
      <c r="AB189" s="193"/>
    </row>
    <row r="190" spans="1:28">
      <c r="A190" s="116"/>
      <c r="B190" s="116"/>
      <c r="C190" s="116"/>
      <c r="D190" s="3"/>
      <c r="E190" s="184"/>
      <c r="F190" s="184"/>
      <c r="G190" s="184"/>
      <c r="H190" s="184"/>
      <c r="I190" s="184"/>
      <c r="J190" s="184"/>
      <c r="K190" s="184"/>
      <c r="L190" s="184"/>
      <c r="M190" s="185"/>
      <c r="N190" s="185"/>
      <c r="O190" s="186"/>
      <c r="P190" s="187"/>
      <c r="Q190" s="187"/>
      <c r="R190" s="188"/>
      <c r="S190" s="188"/>
      <c r="T190" s="185"/>
      <c r="U190" s="185"/>
      <c r="V190" s="189"/>
      <c r="W190" s="190"/>
      <c r="X190" s="191"/>
      <c r="Y190" s="186"/>
      <c r="Z190" s="192"/>
      <c r="AA190" s="97"/>
      <c r="AB190" s="193"/>
    </row>
    <row r="191" spans="1:28">
      <c r="A191" s="116"/>
      <c r="B191" s="116"/>
      <c r="C191" s="116"/>
      <c r="D191" s="3"/>
      <c r="E191" s="184"/>
      <c r="F191" s="184"/>
      <c r="G191" s="184"/>
      <c r="H191" s="184"/>
      <c r="I191" s="184"/>
      <c r="J191" s="184"/>
      <c r="K191" s="184"/>
      <c r="L191" s="184"/>
      <c r="M191" s="185"/>
      <c r="N191" s="185"/>
      <c r="O191" s="186"/>
      <c r="P191" s="187"/>
      <c r="Q191" s="187"/>
      <c r="R191" s="188"/>
      <c r="S191" s="188"/>
      <c r="T191" s="185"/>
      <c r="U191" s="185"/>
      <c r="V191" s="189"/>
      <c r="W191" s="190"/>
      <c r="X191" s="191"/>
      <c r="Y191" s="186"/>
      <c r="Z191" s="192"/>
      <c r="AA191" s="97"/>
      <c r="AB191" s="193"/>
    </row>
    <row r="192" spans="1:28">
      <c r="A192" s="116"/>
      <c r="B192" s="116"/>
      <c r="C192" s="116"/>
      <c r="D192" s="3"/>
      <c r="E192" s="184"/>
      <c r="F192" s="184"/>
      <c r="G192" s="184"/>
      <c r="H192" s="184"/>
      <c r="I192" s="184"/>
      <c r="J192" s="184"/>
      <c r="K192" s="184"/>
      <c r="L192" s="184"/>
      <c r="M192" s="185"/>
      <c r="N192" s="185"/>
      <c r="O192" s="186"/>
      <c r="P192" s="187"/>
      <c r="Q192" s="187"/>
      <c r="R192" s="188"/>
      <c r="S192" s="188"/>
      <c r="T192" s="185"/>
      <c r="U192" s="185"/>
      <c r="V192" s="189"/>
      <c r="W192" s="190"/>
      <c r="X192" s="191"/>
      <c r="Y192" s="186"/>
      <c r="Z192" s="192"/>
      <c r="AA192" s="97"/>
      <c r="AB192" s="193"/>
    </row>
    <row r="193" spans="1:28">
      <c r="A193" s="116"/>
      <c r="B193" s="116"/>
      <c r="C193" s="116"/>
      <c r="D193" s="3"/>
      <c r="E193" s="184"/>
      <c r="F193" s="184"/>
      <c r="G193" s="184"/>
      <c r="H193" s="184"/>
      <c r="I193" s="184"/>
      <c r="J193" s="184"/>
      <c r="K193" s="184"/>
      <c r="L193" s="184"/>
      <c r="M193" s="185"/>
      <c r="N193" s="185"/>
      <c r="O193" s="186"/>
      <c r="P193" s="187"/>
      <c r="Q193" s="187"/>
      <c r="R193" s="188"/>
      <c r="S193" s="188"/>
      <c r="T193" s="185"/>
      <c r="U193" s="185"/>
      <c r="V193" s="189"/>
      <c r="W193" s="190"/>
      <c r="X193" s="191"/>
      <c r="Y193" s="186"/>
      <c r="Z193" s="192"/>
      <c r="AA193" s="97"/>
      <c r="AB193" s="193"/>
    </row>
    <row r="194" spans="1:28">
      <c r="A194" s="116"/>
      <c r="B194" s="116"/>
      <c r="C194" s="116"/>
      <c r="D194" s="3"/>
      <c r="E194" s="184"/>
      <c r="F194" s="184"/>
      <c r="G194" s="184"/>
      <c r="H194" s="184"/>
      <c r="I194" s="184"/>
      <c r="J194" s="184"/>
      <c r="K194" s="184"/>
      <c r="L194" s="184"/>
      <c r="M194" s="185"/>
      <c r="N194" s="185"/>
      <c r="O194" s="186"/>
      <c r="P194" s="187"/>
      <c r="Q194" s="187"/>
      <c r="R194" s="188"/>
      <c r="S194" s="188"/>
      <c r="T194" s="185"/>
      <c r="U194" s="185"/>
      <c r="V194" s="189"/>
      <c r="W194" s="190"/>
      <c r="X194" s="191"/>
      <c r="Y194" s="186"/>
      <c r="Z194" s="192"/>
      <c r="AA194" s="97"/>
      <c r="AB194" s="193"/>
    </row>
    <row r="195" spans="1:28">
      <c r="A195" s="116"/>
      <c r="B195" s="116"/>
      <c r="C195" s="116"/>
      <c r="D195" s="3"/>
      <c r="E195" s="184"/>
      <c r="F195" s="184"/>
      <c r="G195" s="184"/>
      <c r="H195" s="184"/>
      <c r="I195" s="184"/>
      <c r="J195" s="184"/>
      <c r="K195" s="184"/>
      <c r="L195" s="184"/>
      <c r="M195" s="185"/>
      <c r="N195" s="185"/>
      <c r="O195" s="186"/>
      <c r="P195" s="187"/>
      <c r="Q195" s="187"/>
      <c r="R195" s="188"/>
      <c r="S195" s="188"/>
      <c r="T195" s="185"/>
      <c r="U195" s="185"/>
      <c r="V195" s="189"/>
      <c r="W195" s="190"/>
      <c r="X195" s="191"/>
      <c r="Y195" s="186"/>
      <c r="Z195" s="192"/>
      <c r="AA195" s="97"/>
      <c r="AB195" s="193"/>
    </row>
    <row r="196" spans="1:28">
      <c r="A196" s="116"/>
      <c r="B196" s="116"/>
      <c r="C196" s="116"/>
      <c r="D196" s="3"/>
      <c r="E196" s="184"/>
      <c r="F196" s="184"/>
      <c r="G196" s="184"/>
      <c r="H196" s="184"/>
      <c r="I196" s="184"/>
      <c r="J196" s="184"/>
      <c r="K196" s="184"/>
      <c r="L196" s="184"/>
      <c r="M196" s="185"/>
      <c r="N196" s="185"/>
      <c r="O196" s="186"/>
      <c r="P196" s="187"/>
      <c r="Q196" s="187"/>
      <c r="R196" s="188"/>
      <c r="S196" s="188"/>
      <c r="T196" s="185"/>
      <c r="U196" s="185"/>
      <c r="V196" s="189"/>
      <c r="W196" s="190"/>
      <c r="X196" s="191"/>
      <c r="Y196" s="186"/>
      <c r="Z196" s="192"/>
      <c r="AA196" s="97"/>
      <c r="AB196" s="193"/>
    </row>
    <row r="197" spans="1:28">
      <c r="A197" s="116"/>
      <c r="B197" s="116"/>
      <c r="C197" s="116"/>
      <c r="D197" s="3"/>
      <c r="E197" s="184"/>
      <c r="F197" s="184"/>
      <c r="G197" s="184"/>
      <c r="H197" s="184"/>
      <c r="I197" s="184"/>
      <c r="J197" s="184"/>
      <c r="K197" s="184"/>
      <c r="L197" s="184"/>
      <c r="M197" s="185"/>
      <c r="N197" s="185"/>
      <c r="O197" s="186"/>
      <c r="P197" s="187"/>
      <c r="Q197" s="187"/>
      <c r="R197" s="188"/>
      <c r="S197" s="188"/>
      <c r="T197" s="185"/>
      <c r="U197" s="185"/>
      <c r="V197" s="189"/>
      <c r="W197" s="190"/>
      <c r="X197" s="191"/>
      <c r="Y197" s="186"/>
      <c r="Z197" s="192"/>
      <c r="AA197" s="97"/>
      <c r="AB197" s="193"/>
    </row>
    <row r="198" spans="1:28">
      <c r="A198" s="116"/>
      <c r="B198" s="116"/>
      <c r="C198" s="116"/>
      <c r="D198" s="3"/>
      <c r="E198" s="184"/>
      <c r="F198" s="184"/>
      <c r="G198" s="184"/>
      <c r="H198" s="184"/>
      <c r="I198" s="184"/>
      <c r="J198" s="184"/>
      <c r="K198" s="184"/>
      <c r="L198" s="184"/>
      <c r="M198" s="185"/>
      <c r="N198" s="185"/>
      <c r="O198" s="186"/>
      <c r="P198" s="187"/>
      <c r="Q198" s="187"/>
      <c r="R198" s="188"/>
      <c r="S198" s="188"/>
      <c r="T198" s="185"/>
      <c r="U198" s="185"/>
      <c r="V198" s="189"/>
      <c r="W198" s="190"/>
      <c r="X198" s="191"/>
      <c r="Y198" s="186"/>
      <c r="Z198" s="192"/>
      <c r="AA198" s="97"/>
      <c r="AB198" s="193"/>
    </row>
    <row r="199" spans="1:28">
      <c r="A199" s="116"/>
      <c r="B199" s="116"/>
      <c r="C199" s="116"/>
      <c r="D199" s="3"/>
      <c r="E199" s="184"/>
      <c r="F199" s="184"/>
      <c r="G199" s="184"/>
      <c r="H199" s="184"/>
      <c r="I199" s="184"/>
      <c r="J199" s="184"/>
      <c r="K199" s="184"/>
      <c r="L199" s="184"/>
      <c r="M199" s="185"/>
      <c r="N199" s="185"/>
      <c r="O199" s="186"/>
      <c r="P199" s="187"/>
      <c r="Q199" s="187"/>
      <c r="R199" s="188"/>
      <c r="S199" s="188"/>
      <c r="T199" s="185"/>
      <c r="U199" s="185"/>
      <c r="V199" s="189"/>
      <c r="W199" s="190"/>
      <c r="X199" s="191"/>
      <c r="Y199" s="186"/>
      <c r="Z199" s="192"/>
      <c r="AA199" s="97"/>
      <c r="AB199" s="193"/>
    </row>
    <row r="200" spans="1:28">
      <c r="A200" s="116"/>
      <c r="B200" s="116"/>
      <c r="C200" s="116"/>
      <c r="D200" s="3"/>
      <c r="E200" s="184"/>
      <c r="F200" s="184"/>
      <c r="G200" s="184"/>
      <c r="H200" s="184"/>
      <c r="I200" s="184"/>
      <c r="J200" s="184"/>
      <c r="K200" s="184"/>
      <c r="L200" s="184"/>
      <c r="M200" s="185"/>
      <c r="N200" s="185"/>
      <c r="O200" s="186"/>
      <c r="P200" s="187"/>
      <c r="Q200" s="187"/>
      <c r="R200" s="188"/>
      <c r="S200" s="188"/>
      <c r="T200" s="185"/>
      <c r="U200" s="185"/>
      <c r="V200" s="189"/>
      <c r="W200" s="190"/>
      <c r="X200" s="191"/>
      <c r="Y200" s="186"/>
      <c r="Z200" s="192"/>
      <c r="AA200" s="97"/>
      <c r="AB200" s="193"/>
    </row>
    <row r="201" spans="1:28">
      <c r="A201" s="116"/>
      <c r="B201" s="116"/>
      <c r="C201" s="116"/>
      <c r="D201" s="3"/>
      <c r="E201" s="184"/>
      <c r="F201" s="184"/>
      <c r="G201" s="184"/>
      <c r="H201" s="184"/>
      <c r="I201" s="184"/>
      <c r="J201" s="184"/>
      <c r="K201" s="184"/>
      <c r="L201" s="184"/>
      <c r="M201" s="185"/>
      <c r="N201" s="185"/>
      <c r="O201" s="186"/>
      <c r="P201" s="187"/>
      <c r="Q201" s="187"/>
      <c r="R201" s="188"/>
      <c r="S201" s="188"/>
      <c r="T201" s="185"/>
      <c r="U201" s="185"/>
      <c r="V201" s="189"/>
      <c r="W201" s="190"/>
      <c r="X201" s="191"/>
      <c r="Y201" s="186"/>
      <c r="Z201" s="192"/>
      <c r="AA201" s="97"/>
      <c r="AB201" s="193"/>
    </row>
    <row r="202" spans="1:28">
      <c r="A202" s="116"/>
      <c r="B202" s="116"/>
      <c r="C202" s="116"/>
      <c r="D202" s="3"/>
      <c r="E202" s="184"/>
      <c r="F202" s="184"/>
      <c r="G202" s="184"/>
      <c r="H202" s="184"/>
      <c r="I202" s="184"/>
      <c r="J202" s="184"/>
      <c r="K202" s="184"/>
      <c r="L202" s="184"/>
      <c r="M202" s="185"/>
      <c r="N202" s="185"/>
      <c r="O202" s="186"/>
      <c r="P202" s="187"/>
      <c r="Q202" s="187"/>
      <c r="R202" s="188"/>
      <c r="S202" s="188"/>
      <c r="T202" s="185"/>
      <c r="U202" s="185"/>
      <c r="V202" s="189"/>
      <c r="W202" s="190"/>
      <c r="X202" s="191"/>
      <c r="Y202" s="186"/>
      <c r="Z202" s="192"/>
      <c r="AA202" s="97"/>
      <c r="AB202" s="193"/>
    </row>
    <row r="203" spans="1:28">
      <c r="A203" s="169"/>
      <c r="B203" s="169"/>
      <c r="C203" s="169"/>
      <c r="D203" s="170"/>
      <c r="E203" s="171"/>
      <c r="F203" s="171"/>
      <c r="G203" s="171"/>
      <c r="H203" s="171"/>
      <c r="I203" s="171"/>
      <c r="J203" s="171"/>
      <c r="K203" s="171"/>
      <c r="L203" s="171"/>
      <c r="M203" s="172"/>
      <c r="N203" s="172"/>
      <c r="O203" s="173"/>
      <c r="P203" s="174"/>
      <c r="Q203" s="174"/>
      <c r="R203" s="175"/>
      <c r="S203" s="175"/>
      <c r="T203" s="172"/>
      <c r="U203" s="172"/>
      <c r="V203" s="176"/>
      <c r="W203" s="177"/>
      <c r="X203" s="178"/>
      <c r="Y203" s="173"/>
      <c r="Z203" s="179"/>
      <c r="AA203" s="180"/>
      <c r="AB203" s="181"/>
    </row>
  </sheetData>
  <sheetProtection formatCells="0" formatColumns="0" formatRows="0" insertColumns="0" insertRows="0" insertHyperlinks="0" deleteColumns="0" deleteRows="0" sort="0" autoFilter="0" pivotTables="0"/>
  <dataConsolidate/>
  <mergeCells count="29">
    <mergeCell ref="AC3:AF3"/>
    <mergeCell ref="AC1:CA1"/>
    <mergeCell ref="AG3:AJ3"/>
    <mergeCell ref="AK3:AN3"/>
    <mergeCell ref="AO3:AR3"/>
    <mergeCell ref="AS3:AV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146">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1415</v>
      </c>
      <c r="B1" s="18"/>
      <c r="C1" s="18"/>
      <c r="D1" s="18"/>
      <c r="E1" s="18"/>
      <c r="F1" s="18"/>
      <c r="G1" s="18"/>
      <c r="H1" s="18"/>
      <c r="I1" s="18"/>
      <c r="J1" s="18"/>
      <c r="K1" s="18"/>
      <c r="L1" s="273"/>
      <c r="M1" s="274"/>
      <c r="N1" s="274"/>
      <c r="O1" s="19"/>
      <c r="P1" s="19"/>
      <c r="Q1" s="19"/>
    </row>
    <row r="2" spans="1:17" s="23" customFormat="1" ht="13.8">
      <c r="A2" s="21" t="s">
        <v>1088</v>
      </c>
      <c r="B2" s="22"/>
    </row>
    <row r="3" spans="1:17" s="23" customFormat="1" ht="13.8">
      <c r="A3" s="21" t="s">
        <v>1089</v>
      </c>
      <c r="B3" s="22"/>
    </row>
    <row r="4" spans="1:17" s="23" customFormat="1" ht="13.8">
      <c r="A4" s="275"/>
      <c r="B4" s="275"/>
      <c r="C4" s="24"/>
      <c r="D4" s="25"/>
      <c r="E4" s="25"/>
      <c r="F4" s="25"/>
    </row>
    <row r="5" spans="1:17" s="31" customFormat="1" ht="13.8">
      <c r="A5" s="26"/>
      <c r="B5" s="27"/>
      <c r="C5" s="28"/>
      <c r="D5" s="29"/>
      <c r="E5" s="30"/>
      <c r="F5" s="30"/>
      <c r="G5" s="30"/>
    </row>
    <row r="6" spans="1:17" s="31" customFormat="1" ht="13.8">
      <c r="A6" s="32" t="s">
        <v>1090</v>
      </c>
      <c r="B6" s="33">
        <v>336</v>
      </c>
      <c r="C6" s="31" t="s">
        <v>1</v>
      </c>
      <c r="D6" s="272" t="s">
        <v>1091</v>
      </c>
      <c r="E6" s="272"/>
      <c r="F6" s="272"/>
      <c r="G6" s="272"/>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1092</v>
      </c>
      <c r="B9" s="33">
        <v>208</v>
      </c>
      <c r="C9" s="31" t="s">
        <v>1</v>
      </c>
      <c r="D9" s="271" t="s">
        <v>1093</v>
      </c>
      <c r="E9" s="271"/>
      <c r="F9" s="271"/>
      <c r="G9" s="271"/>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1416</v>
      </c>
      <c r="B12" s="33">
        <v>157.80000000000001</v>
      </c>
      <c r="C12" s="31" t="s">
        <v>1</v>
      </c>
      <c r="D12" s="271" t="s">
        <v>1417</v>
      </c>
      <c r="E12" s="271"/>
      <c r="F12" s="271"/>
      <c r="G12" s="271"/>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1087</v>
      </c>
      <c r="B15" s="33"/>
      <c r="C15" s="31" t="s">
        <v>1</v>
      </c>
      <c r="D15" s="271" t="s">
        <v>1094</v>
      </c>
      <c r="E15" s="271"/>
      <c r="F15" s="271"/>
      <c r="G15" s="271"/>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1095</v>
      </c>
      <c r="B18" s="55">
        <v>0.61904761904761907</v>
      </c>
      <c r="D18" s="271" t="s">
        <v>1096</v>
      </c>
      <c r="E18" s="271"/>
      <c r="F18" s="271"/>
      <c r="G18" s="271"/>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1097</v>
      </c>
      <c r="B21" s="55">
        <v>0.4696428571428572</v>
      </c>
      <c r="D21" s="271" t="s">
        <v>1098</v>
      </c>
      <c r="E21" s="271"/>
      <c r="F21" s="271"/>
      <c r="G21" s="271"/>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1099</v>
      </c>
      <c r="B24" s="65">
        <f>ACTUAL_RATE-PLANNED_RATE</f>
        <v>-0.14940476190476187</v>
      </c>
      <c r="D24" s="272" t="s">
        <v>1100</v>
      </c>
      <c r="E24" s="272"/>
      <c r="F24" s="272"/>
      <c r="G24" s="272"/>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3" customWidth="1"/>
    <col min="2" max="3" width="10.59765625" style="213" bestFit="1" customWidth="1"/>
    <col min="4" max="4" width="9.09765625" style="213"/>
    <col min="5" max="5" width="10.59765625" style="213" customWidth="1"/>
    <col min="6" max="16384" width="9.09765625" style="213"/>
  </cols>
  <sheetData>
    <row r="1" spans="2:6" ht="36.9" customHeight="1">
      <c r="B1" s="78" t="s">
        <v>1116</v>
      </c>
    </row>
    <row r="2" spans="2:6">
      <c r="B2" s="213" t="s">
        <v>1117</v>
      </c>
    </row>
    <row r="3" spans="2:6">
      <c r="B3" s="213" t="s">
        <v>1118</v>
      </c>
    </row>
    <row r="6" spans="2:6" ht="28.8">
      <c r="B6" s="79" t="s">
        <v>1102</v>
      </c>
      <c r="C6" s="183" t="s">
        <v>1103</v>
      </c>
      <c r="D6" s="183" t="s">
        <v>2</v>
      </c>
      <c r="E6" s="183" t="s">
        <v>1119</v>
      </c>
      <c r="F6" s="212" t="s">
        <v>1120</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A27" sqref="A27"/>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1105</v>
      </c>
      <c r="B1" s="17"/>
      <c r="C1" s="17"/>
      <c r="D1" s="17"/>
      <c r="E1" s="17"/>
      <c r="F1" s="17"/>
      <c r="G1" s="17"/>
      <c r="H1" s="17"/>
    </row>
    <row r="2" spans="1:9" s="81" customFormat="1" ht="78.75" customHeight="1">
      <c r="A2" s="276" t="s">
        <v>1106</v>
      </c>
      <c r="B2" s="276"/>
      <c r="C2" s="276"/>
      <c r="D2" s="276"/>
      <c r="E2" s="276"/>
      <c r="F2" s="276"/>
      <c r="G2" s="276"/>
      <c r="H2" s="276"/>
    </row>
    <row r="3" spans="1:9" s="81" customFormat="1" ht="24.75" customHeight="1">
      <c r="A3" s="277" t="s">
        <v>1107</v>
      </c>
      <c r="B3" s="277"/>
      <c r="D3" s="277" t="s">
        <v>1108</v>
      </c>
      <c r="E3" s="277"/>
      <c r="G3" s="277" t="s">
        <v>1109</v>
      </c>
      <c r="H3" s="277"/>
    </row>
    <row r="4" spans="1:9" s="83" customFormat="1" ht="19.5" customHeight="1">
      <c r="A4" s="82" t="s">
        <v>1110</v>
      </c>
      <c r="B4" s="82" t="s">
        <v>1112</v>
      </c>
      <c r="D4" s="82" t="s">
        <v>1111</v>
      </c>
      <c r="E4" s="82" t="s">
        <v>1113</v>
      </c>
      <c r="G4" s="82" t="s">
        <v>1111</v>
      </c>
      <c r="H4" s="82" t="s">
        <v>1112</v>
      </c>
    </row>
    <row r="5" spans="1:9" ht="17.399999999999999">
      <c r="A5" s="118" t="s">
        <v>1055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1056</v>
      </c>
      <c r="B6" s="119">
        <v>43146</v>
      </c>
      <c r="C6" s="86" t="str">
        <f t="shared" si="0"/>
        <v>(목)</v>
      </c>
      <c r="D6" s="84"/>
      <c r="E6" s="85"/>
      <c r="F6" s="86" t="str">
        <f t="shared" si="1"/>
        <v/>
      </c>
      <c r="G6" s="84"/>
      <c r="H6" s="85"/>
      <c r="I6" s="86" t="str">
        <f t="shared" si="2"/>
        <v/>
      </c>
    </row>
    <row r="7" spans="1:9" ht="17.399999999999999">
      <c r="A7" s="118" t="s">
        <v>1057</v>
      </c>
      <c r="B7" s="119">
        <v>43147</v>
      </c>
      <c r="C7" s="86" t="str">
        <f t="shared" si="0"/>
        <v>(금)</v>
      </c>
      <c r="D7" s="84"/>
      <c r="E7" s="85"/>
      <c r="F7" s="86" t="str">
        <f t="shared" si="1"/>
        <v/>
      </c>
      <c r="G7" s="84"/>
      <c r="H7" s="85"/>
      <c r="I7" s="86" t="str">
        <f t="shared" si="2"/>
        <v/>
      </c>
    </row>
    <row r="8" spans="1:9" ht="17.399999999999999">
      <c r="A8" s="118" t="s">
        <v>1058</v>
      </c>
      <c r="B8" s="119">
        <v>43160</v>
      </c>
      <c r="C8" s="86" t="str">
        <f t="shared" si="0"/>
        <v>(목)</v>
      </c>
      <c r="D8" s="84"/>
      <c r="E8" s="85"/>
      <c r="F8" s="86" t="str">
        <f t="shared" si="1"/>
        <v/>
      </c>
      <c r="G8" s="84"/>
      <c r="H8" s="85"/>
      <c r="I8" s="86" t="str">
        <f t="shared" si="2"/>
        <v/>
      </c>
    </row>
    <row r="9" spans="1:9" ht="17.399999999999999">
      <c r="A9" s="118" t="s">
        <v>915</v>
      </c>
      <c r="B9" s="119">
        <v>43227</v>
      </c>
      <c r="C9" s="86" t="str">
        <f t="shared" si="0"/>
        <v>(월)</v>
      </c>
      <c r="D9" s="84"/>
      <c r="E9" s="85"/>
      <c r="F9" s="86" t="str">
        <f t="shared" si="1"/>
        <v/>
      </c>
      <c r="G9" s="84"/>
      <c r="H9" s="85"/>
      <c r="I9" s="86" t="str">
        <f t="shared" si="2"/>
        <v/>
      </c>
    </row>
    <row r="10" spans="1:9" ht="17.399999999999999">
      <c r="A10" s="118" t="s">
        <v>916</v>
      </c>
      <c r="B10" s="119">
        <v>43242</v>
      </c>
      <c r="C10" s="86" t="str">
        <f t="shared" si="0"/>
        <v>(화)</v>
      </c>
      <c r="D10" s="84"/>
      <c r="E10" s="85"/>
      <c r="F10" s="86" t="str">
        <f t="shared" si="1"/>
        <v/>
      </c>
      <c r="G10" s="84"/>
      <c r="H10" s="85"/>
      <c r="I10" s="86" t="str">
        <f t="shared" si="2"/>
        <v/>
      </c>
    </row>
    <row r="11" spans="1:9" ht="17.399999999999999">
      <c r="A11" s="118" t="s">
        <v>917</v>
      </c>
      <c r="B11" s="119">
        <v>43257</v>
      </c>
      <c r="C11" s="86" t="str">
        <f t="shared" si="0"/>
        <v>(수)</v>
      </c>
      <c r="D11" s="84"/>
      <c r="E11" s="85"/>
      <c r="F11" s="86" t="str">
        <f t="shared" si="1"/>
        <v/>
      </c>
      <c r="G11" s="84"/>
      <c r="H11" s="85"/>
      <c r="I11" s="86" t="str">
        <f t="shared" si="2"/>
        <v/>
      </c>
    </row>
    <row r="12" spans="1:9" ht="17.399999999999999">
      <c r="A12" s="118" t="s">
        <v>918</v>
      </c>
      <c r="B12" s="119">
        <v>43327</v>
      </c>
      <c r="C12" s="86" t="str">
        <f t="shared" si="0"/>
        <v>(수)</v>
      </c>
      <c r="D12" s="84"/>
      <c r="E12" s="85"/>
      <c r="F12" s="86" t="str">
        <f t="shared" si="1"/>
        <v/>
      </c>
      <c r="G12" s="84"/>
      <c r="H12" s="85"/>
      <c r="I12" s="86" t="str">
        <f t="shared" si="2"/>
        <v/>
      </c>
    </row>
    <row r="13" spans="1:9" ht="17.399999999999999">
      <c r="A13" s="118" t="s">
        <v>919</v>
      </c>
      <c r="B13" s="119">
        <v>43367</v>
      </c>
      <c r="C13" s="86" t="str">
        <f t="shared" si="0"/>
        <v>(월)</v>
      </c>
      <c r="D13" s="84"/>
      <c r="E13" s="85"/>
      <c r="F13" s="86" t="str">
        <f t="shared" si="1"/>
        <v/>
      </c>
      <c r="G13" s="84"/>
      <c r="H13" s="85"/>
      <c r="I13" s="86" t="str">
        <f t="shared" si="2"/>
        <v/>
      </c>
    </row>
    <row r="14" spans="1:9" ht="17.399999999999999">
      <c r="A14" s="118" t="s">
        <v>920</v>
      </c>
      <c r="B14" s="119">
        <v>43368</v>
      </c>
      <c r="C14" s="86" t="str">
        <f t="shared" si="0"/>
        <v>(화)</v>
      </c>
      <c r="D14" s="84"/>
      <c r="E14" s="85"/>
      <c r="F14" s="86" t="str">
        <f t="shared" si="1"/>
        <v/>
      </c>
      <c r="G14" s="84"/>
      <c r="H14" s="85"/>
      <c r="I14" s="86" t="str">
        <f t="shared" si="2"/>
        <v/>
      </c>
    </row>
    <row r="15" spans="1:9" ht="17.399999999999999">
      <c r="A15" s="118" t="s">
        <v>921</v>
      </c>
      <c r="B15" s="119">
        <v>43369</v>
      </c>
      <c r="C15" s="86" t="str">
        <f t="shared" si="0"/>
        <v>(수)</v>
      </c>
      <c r="D15" s="84"/>
      <c r="E15" s="85"/>
      <c r="F15" s="86" t="str">
        <f t="shared" si="1"/>
        <v/>
      </c>
      <c r="G15" s="84"/>
      <c r="H15" s="85"/>
      <c r="I15" s="86" t="str">
        <f t="shared" si="2"/>
        <v/>
      </c>
    </row>
    <row r="16" spans="1:9" ht="17.399999999999999">
      <c r="A16" s="118" t="s">
        <v>922</v>
      </c>
      <c r="B16" s="119">
        <v>43376</v>
      </c>
      <c r="C16" s="86" t="str">
        <f t="shared" si="0"/>
        <v>(수)</v>
      </c>
      <c r="D16" s="84"/>
      <c r="E16" s="85"/>
      <c r="F16" s="86" t="str">
        <f t="shared" si="1"/>
        <v/>
      </c>
      <c r="G16" s="84"/>
      <c r="H16" s="85"/>
      <c r="I16" s="86" t="str">
        <f t="shared" si="2"/>
        <v/>
      </c>
    </row>
    <row r="17" spans="1:10" ht="17.399999999999999">
      <c r="A17" s="118" t="s">
        <v>923</v>
      </c>
      <c r="B17" s="119">
        <v>43382</v>
      </c>
      <c r="C17" s="86" t="str">
        <f t="shared" si="0"/>
        <v>(화)</v>
      </c>
      <c r="D17" s="84"/>
      <c r="E17" s="85"/>
      <c r="F17" s="86" t="str">
        <f t="shared" si="1"/>
        <v/>
      </c>
      <c r="G17" s="84"/>
      <c r="H17" s="85"/>
      <c r="I17" s="86" t="str">
        <f t="shared" si="2"/>
        <v/>
      </c>
    </row>
    <row r="18" spans="1:10" ht="17.399999999999999">
      <c r="A18" s="118" t="s">
        <v>924</v>
      </c>
      <c r="B18" s="119">
        <v>43459</v>
      </c>
      <c r="C18" s="86" t="str">
        <f t="shared" si="0"/>
        <v>(화)</v>
      </c>
      <c r="D18" s="84"/>
      <c r="E18" s="85"/>
      <c r="F18" s="86" t="str">
        <f t="shared" si="1"/>
        <v/>
      </c>
      <c r="G18" s="84"/>
      <c r="H18" s="85"/>
      <c r="I18" s="86" t="str">
        <f t="shared" si="2"/>
        <v/>
      </c>
    </row>
    <row r="19" spans="1:10" ht="17.399999999999999">
      <c r="A19" s="118" t="s">
        <v>1059</v>
      </c>
      <c r="B19" s="119">
        <v>43466</v>
      </c>
      <c r="C19" s="86" t="str">
        <f t="shared" si="0"/>
        <v>(화)</v>
      </c>
      <c r="D19" s="84"/>
      <c r="E19" s="85"/>
      <c r="F19" s="86" t="str">
        <f t="shared" si="1"/>
        <v/>
      </c>
      <c r="G19" s="84"/>
      <c r="H19" s="85"/>
      <c r="I19" s="86" t="str">
        <f t="shared" si="2"/>
        <v/>
      </c>
      <c r="J19" s="87"/>
    </row>
    <row r="20" spans="1:10" ht="17.399999999999999">
      <c r="A20" s="118" t="s">
        <v>1060</v>
      </c>
      <c r="B20" s="119">
        <v>43500</v>
      </c>
      <c r="C20" s="86" t="str">
        <f t="shared" si="0"/>
        <v>(월)</v>
      </c>
      <c r="D20" s="84"/>
      <c r="E20" s="85"/>
      <c r="F20" s="86" t="str">
        <f t="shared" si="1"/>
        <v/>
      </c>
      <c r="G20" s="84"/>
      <c r="H20" s="85"/>
      <c r="I20" s="86" t="str">
        <f t="shared" si="2"/>
        <v/>
      </c>
      <c r="J20" s="87"/>
    </row>
    <row r="21" spans="1:10" ht="17.399999999999999">
      <c r="A21" s="118" t="s">
        <v>1061</v>
      </c>
      <c r="B21" s="119">
        <v>43501</v>
      </c>
      <c r="C21" s="86" t="str">
        <f t="shared" si="0"/>
        <v>(화)</v>
      </c>
      <c r="D21" s="84"/>
      <c r="E21" s="85"/>
      <c r="F21" s="86" t="str">
        <f t="shared" si="1"/>
        <v/>
      </c>
      <c r="G21" s="84"/>
      <c r="H21" s="85"/>
      <c r="I21" s="86" t="str">
        <f t="shared" si="2"/>
        <v/>
      </c>
    </row>
    <row r="22" spans="1:10" ht="17.399999999999999">
      <c r="A22" s="118" t="s">
        <v>1060</v>
      </c>
      <c r="B22" s="119">
        <v>43502</v>
      </c>
      <c r="C22" s="86" t="str">
        <f t="shared" si="0"/>
        <v>(수)</v>
      </c>
      <c r="D22" s="84"/>
      <c r="E22" s="85"/>
      <c r="F22" s="86" t="str">
        <f t="shared" si="1"/>
        <v/>
      </c>
      <c r="G22" s="84"/>
      <c r="H22" s="85"/>
      <c r="I22" s="86" t="str">
        <f t="shared" si="2"/>
        <v/>
      </c>
    </row>
    <row r="23" spans="1:10" ht="17.399999999999999">
      <c r="A23" s="118" t="s">
        <v>1062</v>
      </c>
      <c r="B23" s="119">
        <v>43525</v>
      </c>
      <c r="C23" s="86" t="str">
        <f t="shared" si="0"/>
        <v>(금)</v>
      </c>
      <c r="D23" s="84"/>
      <c r="E23" s="85"/>
      <c r="F23" s="86" t="str">
        <f t="shared" si="1"/>
        <v/>
      </c>
      <c r="G23" s="84"/>
      <c r="H23" s="85"/>
      <c r="I23" s="86" t="str">
        <f t="shared" si="2"/>
        <v/>
      </c>
    </row>
    <row r="24" spans="1:10" ht="17.399999999999999">
      <c r="A24" s="118" t="s">
        <v>1063</v>
      </c>
      <c r="B24" s="119">
        <v>43591</v>
      </c>
      <c r="C24" s="86" t="str">
        <f t="shared" si="0"/>
        <v>(월)</v>
      </c>
      <c r="D24" s="84"/>
      <c r="E24" s="85"/>
      <c r="F24" s="86" t="str">
        <f t="shared" si="1"/>
        <v/>
      </c>
      <c r="G24" s="84"/>
      <c r="H24" s="85"/>
      <c r="I24" s="86" t="str">
        <f t="shared" si="2"/>
        <v/>
      </c>
    </row>
    <row r="25" spans="1:10" ht="17.399999999999999">
      <c r="A25" s="118" t="s">
        <v>1064</v>
      </c>
      <c r="B25" s="119">
        <v>43622</v>
      </c>
      <c r="C25" s="86" t="str">
        <f t="shared" si="0"/>
        <v>(목)</v>
      </c>
      <c r="D25" s="84"/>
      <c r="E25" s="85"/>
      <c r="F25" s="86" t="str">
        <f t="shared" si="1"/>
        <v/>
      </c>
      <c r="G25" s="84"/>
      <c r="H25" s="85"/>
      <c r="I25" s="86" t="str">
        <f t="shared" si="2"/>
        <v/>
      </c>
    </row>
    <row r="26" spans="1:10" ht="17.399999999999999">
      <c r="A26" s="118" t="s">
        <v>1065</v>
      </c>
      <c r="B26" s="119">
        <v>43692</v>
      </c>
      <c r="C26" s="86" t="str">
        <f t="shared" si="0"/>
        <v>(목)</v>
      </c>
      <c r="D26" s="84"/>
      <c r="E26" s="85"/>
      <c r="F26" s="86" t="str">
        <f t="shared" si="1"/>
        <v/>
      </c>
      <c r="G26" s="84"/>
      <c r="H26" s="85"/>
      <c r="I26" s="86" t="str">
        <f t="shared" si="2"/>
        <v/>
      </c>
    </row>
    <row r="27" spans="1:10" ht="17.399999999999999">
      <c r="A27" s="118" t="s">
        <v>1066</v>
      </c>
      <c r="B27" s="119">
        <v>43720</v>
      </c>
      <c r="C27" s="86" t="str">
        <f t="shared" si="0"/>
        <v>(목)</v>
      </c>
      <c r="D27" s="84"/>
      <c r="E27" s="85"/>
      <c r="F27" s="86" t="str">
        <f t="shared" si="1"/>
        <v/>
      </c>
      <c r="G27" s="84"/>
      <c r="H27" s="85"/>
      <c r="I27" s="86" t="str">
        <f t="shared" si="2"/>
        <v/>
      </c>
    </row>
    <row r="28" spans="1:10" ht="17.399999999999999">
      <c r="A28" s="118" t="s">
        <v>1067</v>
      </c>
      <c r="B28" s="119">
        <v>43721</v>
      </c>
      <c r="C28" s="86" t="str">
        <f t="shared" si="0"/>
        <v>(금)</v>
      </c>
      <c r="D28" s="84"/>
      <c r="E28" s="85"/>
      <c r="F28" s="86" t="str">
        <f t="shared" si="1"/>
        <v/>
      </c>
      <c r="G28" s="84"/>
      <c r="H28" s="85"/>
      <c r="I28" s="86" t="str">
        <f t="shared" si="2"/>
        <v/>
      </c>
    </row>
    <row r="29" spans="1:10" ht="17.399999999999999">
      <c r="A29" s="118" t="s">
        <v>1068</v>
      </c>
      <c r="B29" s="119">
        <v>43741</v>
      </c>
      <c r="C29" s="86" t="str">
        <f t="shared" si="0"/>
        <v>(목)</v>
      </c>
      <c r="D29" s="84"/>
      <c r="E29" s="85"/>
      <c r="F29" s="86" t="str">
        <f t="shared" si="1"/>
        <v/>
      </c>
      <c r="G29" s="84"/>
      <c r="H29" s="85"/>
      <c r="I29" s="86" t="str">
        <f t="shared" si="2"/>
        <v/>
      </c>
    </row>
    <row r="30" spans="1:10" ht="17.399999999999999">
      <c r="A30" s="118" t="s">
        <v>1069</v>
      </c>
      <c r="B30" s="119">
        <v>43747</v>
      </c>
      <c r="C30" s="86" t="str">
        <f t="shared" si="0"/>
        <v>(수)</v>
      </c>
      <c r="D30" s="84"/>
      <c r="E30" s="85"/>
      <c r="F30" s="86" t="str">
        <f t="shared" si="1"/>
        <v/>
      </c>
      <c r="G30" s="84"/>
      <c r="H30" s="85"/>
      <c r="I30" s="86" t="str">
        <f t="shared" si="2"/>
        <v/>
      </c>
    </row>
    <row r="31" spans="1:10" ht="17.399999999999999">
      <c r="A31" s="118" t="s">
        <v>1070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1114</v>
      </c>
      <c r="D305" s="86" t="s">
        <v>1114</v>
      </c>
      <c r="G305" s="86" t="s">
        <v>1114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SAMSUNG9</cp:lastModifiedBy>
  <dcterms:created xsi:type="dcterms:W3CDTF">2018-02-18T09:45:14Z</dcterms:created>
  <dcterms:modified xsi:type="dcterms:W3CDTF">2019-03-30T14:14:12Z</dcterms:modified>
</cp:coreProperties>
</file>